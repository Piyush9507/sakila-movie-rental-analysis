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14.xml" ContentType="application/vnd.openxmlformats-officedocument.spreadsheetml.pivot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15.xml" ContentType="application/vnd.openxmlformats-officedocument.spreadsheetml.pivot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16.xml" ContentType="application/vnd.openxmlformats-officedocument.spreadsheetml.pivotTab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pivotTables/pivotTable21.xml" ContentType="application/vnd.openxmlformats-officedocument.spreadsheetml.pivotTable+xml"/>
  <Override PartName="/xl/drawings/drawing13.xml" ContentType="application/vnd.openxmlformats-officedocument.drawing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ivotTables/pivotTable22.xml" ContentType="application/vnd.openxmlformats-officedocument.spreadsheetml.pivotTable+xml"/>
  <Override PartName="/xl/drawings/drawing14.xml" ContentType="application/vnd.openxmlformats-officedocument.drawing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Ex1.xml" ContentType="application/vnd.ms-office.chartex+xml"/>
  <Override PartName="/xl/charts/style26.xml" ContentType="application/vnd.ms-office.chartstyle+xml"/>
  <Override PartName="/xl/charts/colors2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cciojob\Projects\Northwind\"/>
    </mc:Choice>
  </mc:AlternateContent>
  <xr:revisionPtr revIDLastSave="0" documentId="13_ncr:1_{BC5FB4F1-CE78-4D49-BBD7-A8B9A72B433C}" xr6:coauthVersionLast="47" xr6:coauthVersionMax="47" xr10:uidLastSave="{00000000-0000-0000-0000-000000000000}"/>
  <bookViews>
    <workbookView xWindow="-120" yWindow="-120" windowWidth="20730" windowHeight="11040" xr2:uid="{B5980652-9138-49B1-A605-9D4654E6DFA4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9" r:id="rId9"/>
    <sheet name="Q10" sheetId="10" r:id="rId10"/>
    <sheet name="Q11" sheetId="11" r:id="rId11"/>
    <sheet name="Q12" sheetId="13" r:id="rId12"/>
    <sheet name="Q13" sheetId="14" r:id="rId13"/>
    <sheet name="Q14" sheetId="15" r:id="rId14"/>
  </sheets>
  <definedNames>
    <definedName name="_xlchart.v1.0" hidden="1">'Q14'!$A$30:$B$74</definedName>
    <definedName name="_xlchart.v1.1" hidden="1">'Q14'!$D$29</definedName>
    <definedName name="_xlchart.v1.2" hidden="1">'Q14'!$D$30:$D$74</definedName>
    <definedName name="_xlchart.v1.3" hidden="1">'Q14'!$I$76</definedName>
    <definedName name="_xlchart.v1.4" hidden="1">'Q14'!$A$30:$B$74</definedName>
    <definedName name="_xlchart.v1.5" hidden="1">'Q14'!$D$29</definedName>
    <definedName name="_xlchart.v1.6" hidden="1">'Q14'!$D$30:$D$74</definedName>
    <definedName name="ExternalData_1" localSheetId="0" hidden="1">'Q1'!$C$20:$E$45</definedName>
    <definedName name="ExternalData_1" localSheetId="9" hidden="1">'Q10'!$B$30:$D$805</definedName>
    <definedName name="ExternalData_1" localSheetId="10" hidden="1">'Q11'!$B$34:$E$111</definedName>
    <definedName name="ExternalData_1" localSheetId="11" hidden="1">'Q12'!$A$27:$F$44</definedName>
    <definedName name="ExternalData_1" localSheetId="12" hidden="1">'Q13'!$B$27:$D$76</definedName>
    <definedName name="ExternalData_1" localSheetId="13" hidden="1">'Q14'!$A$29:$F$74</definedName>
    <definedName name="ExternalData_1" localSheetId="1" hidden="1">'Q2'!$A$27:$F$96</definedName>
    <definedName name="ExternalData_1" localSheetId="2" hidden="1">'Q3'!$A$31:$F$120</definedName>
    <definedName name="ExternalData_1" localSheetId="3" hidden="1">'Q4'!$A$23:$D$100</definedName>
    <definedName name="ExternalData_1" localSheetId="4" hidden="1">'Q5'!$A$35:$D$39</definedName>
    <definedName name="ExternalData_1" localSheetId="5" hidden="1">'Q6'!$B$22:$E$29</definedName>
    <definedName name="ExternalData_1" localSheetId="6" hidden="1">'Q7'!$B$21:$D$30</definedName>
    <definedName name="ExternalData_1" localSheetId="7" hidden="1">'Q8'!$B$21:$G$25</definedName>
    <definedName name="ExternalData_1" localSheetId="8" hidden="1">'Q9'!$A$28:$F$105</definedName>
  </definedNames>
  <calcPr calcId="191029"/>
  <pivotCaches>
    <pivotCache cacheId="0" r:id="rId15"/>
    <pivotCache cacheId="1" r:id="rId16"/>
    <pivotCache cacheId="2" r:id="rId17"/>
    <pivotCache cacheId="3" r:id="rId18"/>
    <pivotCache cacheId="4" r:id="rId19"/>
    <pivotCache cacheId="5" r:id="rId20"/>
    <pivotCache cacheId="6" r:id="rId21"/>
    <pivotCache cacheId="7" r:id="rId22"/>
    <pivotCache cacheId="8" r:id="rId23"/>
    <pivotCache cacheId="61" r:id="rId24"/>
    <pivotCache cacheId="69" r:id="rId25"/>
    <pivotCache cacheId="119" r:id="rId26"/>
    <pivotCache cacheId="129" r:id="rId2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3" i="10" l="1" a="1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B73934-813D-41A2-9AFD-599B50CA3AF0}" keepAlive="1" name="Query - Q1" description="Connection to the 'Q1' query in the workbook." type="5" refreshedVersion="8" background="1" saveData="1">
    <dbPr connection="Provider=Microsoft.Mashup.OleDb.1;Data Source=$Workbook$;Location=Q1;Extended Properties=&quot;&quot;" command="SELECT * FROM [Q1]"/>
  </connection>
  <connection id="2" xr16:uid="{7861BFB1-87D0-4F3B-985F-762732AC12B9}" keepAlive="1" name="Query - Q10" description="Connection to the 'Q10' query in the workbook." type="5" refreshedVersion="8" background="1" saveData="1">
    <dbPr connection="Provider=Microsoft.Mashup.OleDb.1;Data Source=$Workbook$;Location=Q10;Extended Properties=&quot;&quot;" command="SELECT * FROM [Q10]"/>
  </connection>
  <connection id="3" xr16:uid="{861462AE-296F-47AE-8C86-9A993D30C4C2}" keepAlive="1" name="Query - Q11" description="Connection to the 'Q11' query in the workbook." type="5" refreshedVersion="8" background="1" saveData="1">
    <dbPr connection="Provider=Microsoft.Mashup.OleDb.1;Data Source=$Workbook$;Location=Q11;Extended Properties=&quot;&quot;" command="SELECT * FROM [Q11]"/>
  </connection>
  <connection id="4" xr16:uid="{D420E1E3-A393-4406-A4D6-A74E8F0FB4E2}" keepAlive="1" name="Query - Q12" description="Connection to the 'Q12' query in the workbook." type="5" refreshedVersion="8" background="1" saveData="1">
    <dbPr connection="Provider=Microsoft.Mashup.OleDb.1;Data Source=$Workbook$;Location=Q12;Extended Properties=&quot;&quot;" command="SELECT * FROM [Q12]"/>
  </connection>
  <connection id="5" xr16:uid="{A5418D02-92B4-4E9C-992B-3A7E6E4FBBD3}" keepAlive="1" name="Query - Q13" description="Connection to the 'Q13' query in the workbook." type="5" refreshedVersion="8" background="1" saveData="1">
    <dbPr connection="Provider=Microsoft.Mashup.OleDb.1;Data Source=$Workbook$;Location=Q13;Extended Properties=&quot;&quot;" command="SELECT * FROM [Q13]"/>
  </connection>
  <connection id="6" xr16:uid="{0461A7F8-5E27-4F66-A364-D533E67D3EB5}" keepAlive="1" name="Query - Q14" description="Connection to the 'Q14' query in the workbook." type="5" refreshedVersion="8" background="1" saveData="1">
    <dbPr connection="Provider=Microsoft.Mashup.OleDb.1;Data Source=$Workbook$;Location=Q14;Extended Properties=&quot;&quot;" command="SELECT * FROM [Q14]"/>
  </connection>
  <connection id="7" xr16:uid="{3DE92904-6CC6-461E-A044-94D68620D22D}" keepAlive="1" name="Query - Q2" description="Connection to the 'Q2' query in the workbook." type="5" refreshedVersion="8" background="1" saveData="1">
    <dbPr connection="Provider=Microsoft.Mashup.OleDb.1;Data Source=$Workbook$;Location=Q2;Extended Properties=&quot;&quot;" command="SELECT * FROM [Q2]"/>
  </connection>
  <connection id="8" xr16:uid="{BB04ADC0-6C13-4BE4-9D88-F389DD1F5659}" keepAlive="1" name="Query - Q3" description="Connection to the 'Q3' query in the workbook." type="5" refreshedVersion="8" background="1" saveData="1">
    <dbPr connection="Provider=Microsoft.Mashup.OleDb.1;Data Source=$Workbook$;Location=Q3;Extended Properties=&quot;&quot;" command="SELECT * FROM [Q3]"/>
  </connection>
  <connection id="9" xr16:uid="{6091A492-486C-40B0-844D-11CC5239BEF1}" keepAlive="1" name="Query - Q4" description="Connection to the 'Q4' query in the workbook." type="5" refreshedVersion="8" background="1" saveData="1">
    <dbPr connection="Provider=Microsoft.Mashup.OleDb.1;Data Source=$Workbook$;Location=Q4;Extended Properties=&quot;&quot;" command="SELECT * FROM [Q4]"/>
  </connection>
  <connection id="10" xr16:uid="{B907A6C5-479A-4324-BF24-055B5A0F1F74}" keepAlive="1" name="Query - Q5" description="Connection to the 'Q5' query in the workbook." type="5" refreshedVersion="8" background="1" saveData="1">
    <dbPr connection="Provider=Microsoft.Mashup.OleDb.1;Data Source=$Workbook$;Location=Q5;Extended Properties=&quot;&quot;" command="SELECT * FROM [Q5]"/>
  </connection>
  <connection id="11" xr16:uid="{DA289C0C-A191-4B2B-953C-C0935A029ED3}" keepAlive="1" name="Query - Q6" description="Connection to the 'Q6' query in the workbook." type="5" refreshedVersion="8" background="1" saveData="1">
    <dbPr connection="Provider=Microsoft.Mashup.OleDb.1;Data Source=$Workbook$;Location=Q6;Extended Properties=&quot;&quot;" command="SELECT * FROM [Q6]"/>
  </connection>
  <connection id="12" xr16:uid="{7E951CAD-0C49-4EDD-AED8-8CB3CC6196D8}" keepAlive="1" name="Query - Q7" description="Connection to the 'Q7' query in the workbook." type="5" refreshedVersion="8" background="1" saveData="1">
    <dbPr connection="Provider=Microsoft.Mashup.OleDb.1;Data Source=$Workbook$;Location=Q7;Extended Properties=&quot;&quot;" command="SELECT * FROM [Q7]"/>
  </connection>
  <connection id="13" xr16:uid="{FCFCFF4F-F37D-4059-88FA-37013B3ACFD0}" keepAlive="1" name="Query - Q8" description="Connection to the 'Q8' query in the workbook." type="5" refreshedVersion="8" background="1" saveData="1">
    <dbPr connection="Provider=Microsoft.Mashup.OleDb.1;Data Source=$Workbook$;Location=Q8;Extended Properties=&quot;&quot;" command="SELECT * FROM [Q8]"/>
  </connection>
  <connection id="14" xr16:uid="{F7643B4D-76E4-4C1B-947D-414022616CDB}" keepAlive="1" name="Query - Q9" description="Connection to the 'Q9' query in the workbook." type="5" refreshedVersion="8" background="1" saveData="1">
    <dbPr connection="Provider=Microsoft.Mashup.OleDb.1;Data Source=$Workbook$;Location=Q9;Extended Properties=&quot;&quot;" command="SELECT * FROM [Q9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<sst xmlns="http://schemas.openxmlformats.org/spreadsheetml/2006/main" count="2500" uniqueCount="559">
  <si>
    <t>CustomerID</t>
  </si>
  <si>
    <t>total_orders</t>
  </si>
  <si>
    <t>HANAR</t>
  </si>
  <si>
    <t>SUPRD</t>
  </si>
  <si>
    <t>RICSU</t>
  </si>
  <si>
    <t>HILAA</t>
  </si>
  <si>
    <t>ERNSH</t>
  </si>
  <si>
    <t>RATTC</t>
  </si>
  <si>
    <t>FOLKO</t>
  </si>
  <si>
    <t>BLONP</t>
  </si>
  <si>
    <t>WARTH</t>
  </si>
  <si>
    <t>FRANK</t>
  </si>
  <si>
    <t>WHITC</t>
  </si>
  <si>
    <t>QUICK</t>
  </si>
  <si>
    <t>BERGS</t>
  </si>
  <si>
    <t>LEHMS</t>
  </si>
  <si>
    <t>LILAS</t>
  </si>
  <si>
    <t>HUNGO</t>
  </si>
  <si>
    <t>KOENE</t>
  </si>
  <si>
    <t>SAVEA</t>
  </si>
  <si>
    <t>BONAP</t>
  </si>
  <si>
    <t>MEREP</t>
  </si>
  <si>
    <t>SEVES</t>
  </si>
  <si>
    <t>VAFFE</t>
  </si>
  <si>
    <t>QUEEN</t>
  </si>
  <si>
    <t>BOTTM</t>
  </si>
  <si>
    <t>LINOD</t>
  </si>
  <si>
    <t>total_sales</t>
  </si>
  <si>
    <t>OUTPUT</t>
  </si>
  <si>
    <t>INSIGHTS</t>
  </si>
  <si>
    <t>A small number of orders is generating a large portion of revenue</t>
  </si>
  <si>
    <t>A few customers may be contributing disproportionately to total sales (possible VIP/high-value segment)</t>
  </si>
  <si>
    <t>Revenue is value-driven, not volume-driven</t>
  </si>
  <si>
    <t>Increasing order frequency may have less impact than increasing average order value</t>
  </si>
  <si>
    <t>Country</t>
  </si>
  <si>
    <t>City</t>
  </si>
  <si>
    <t>total_customers</t>
  </si>
  <si>
    <t>order_per_customer</t>
  </si>
  <si>
    <t>UK</t>
  </si>
  <si>
    <t>London</t>
  </si>
  <si>
    <t>Brazil</t>
  </si>
  <si>
    <t>Rio de Janeiro</t>
  </si>
  <si>
    <t>SÃ£o Paulo</t>
  </si>
  <si>
    <t>USA</t>
  </si>
  <si>
    <t>Boise</t>
  </si>
  <si>
    <t>Austria</t>
  </si>
  <si>
    <t>Graz</t>
  </si>
  <si>
    <t>Germany</t>
  </si>
  <si>
    <t>Cunewalde</t>
  </si>
  <si>
    <t>Mexico</t>
  </si>
  <si>
    <t>MÃ©xico D.F.</t>
  </si>
  <si>
    <t>Sweden</t>
  </si>
  <si>
    <t>BrÃ¤cke</t>
  </si>
  <si>
    <t>LuleÃ¥</t>
  </si>
  <si>
    <t>Ireland</t>
  </si>
  <si>
    <t>Cork</t>
  </si>
  <si>
    <t>Albuquerque</t>
  </si>
  <si>
    <t>Venezuela</t>
  </si>
  <si>
    <t>San CristÃ³bal</t>
  </si>
  <si>
    <t>France</t>
  </si>
  <si>
    <t>Marseille</t>
  </si>
  <si>
    <t>Argentina</t>
  </si>
  <si>
    <t>Buenos Aires</t>
  </si>
  <si>
    <t xml:space="preserve">Frankfurt a.M. </t>
  </si>
  <si>
    <t>MÃ¼nchen</t>
  </si>
  <si>
    <t>Finland</t>
  </si>
  <si>
    <t>Oulu</t>
  </si>
  <si>
    <t>Toulouse</t>
  </si>
  <si>
    <t>Portugal</t>
  </si>
  <si>
    <t>Lisboa</t>
  </si>
  <si>
    <t>Canada</t>
  </si>
  <si>
    <t>MontrÃ©al</t>
  </si>
  <si>
    <t>Brandenburg</t>
  </si>
  <si>
    <t>Seattle</t>
  </si>
  <si>
    <t>Barquisimeto</t>
  </si>
  <si>
    <t>Tsawassen</t>
  </si>
  <si>
    <t>Portland</t>
  </si>
  <si>
    <t>Denmark</t>
  </si>
  <si>
    <t>Ã…rhus</t>
  </si>
  <si>
    <t>Strasbourg</t>
  </si>
  <si>
    <t>I. de Margarita</t>
  </si>
  <si>
    <t>Belgium</t>
  </si>
  <si>
    <t>Charleroi</t>
  </si>
  <si>
    <t>Italy</t>
  </si>
  <si>
    <t>Reggio Emilia</t>
  </si>
  <si>
    <t>Bergamo</t>
  </si>
  <si>
    <t>Lyon</t>
  </si>
  <si>
    <t>Cowes</t>
  </si>
  <si>
    <t>Resende</t>
  </si>
  <si>
    <t>Anchorage</t>
  </si>
  <si>
    <t>Salzburg</t>
  </si>
  <si>
    <t>Stuttgart</t>
  </si>
  <si>
    <t>KÃ¶ln</t>
  </si>
  <si>
    <t>Lander</t>
  </si>
  <si>
    <t>Eugene</t>
  </si>
  <si>
    <t>Campinas</t>
  </si>
  <si>
    <t>Switzerland</t>
  </si>
  <si>
    <t>GenÃ¨ve</t>
  </si>
  <si>
    <t>Spain</t>
  </si>
  <si>
    <t>Sevilla</t>
  </si>
  <si>
    <t>Bruxelles</t>
  </si>
  <si>
    <t>Helsinki</t>
  </si>
  <si>
    <t>Nantes</t>
  </si>
  <si>
    <t>Madrid</t>
  </si>
  <si>
    <t>KÃ¸benhavn</t>
  </si>
  <si>
    <t>Mannheim</t>
  </si>
  <si>
    <t>Bern</t>
  </si>
  <si>
    <t>MÃ¼nster</t>
  </si>
  <si>
    <t>Poland</t>
  </si>
  <si>
    <t>Warszawa</t>
  </si>
  <si>
    <t>Lille</t>
  </si>
  <si>
    <t>Elgin</t>
  </si>
  <si>
    <t>Reims</t>
  </si>
  <si>
    <t>Berlin</t>
  </si>
  <si>
    <t>Norway</t>
  </si>
  <si>
    <t>Stavern</t>
  </si>
  <si>
    <t>Leipzig</t>
  </si>
  <si>
    <t>Barcelona</t>
  </si>
  <si>
    <t>Versailles</t>
  </si>
  <si>
    <t>San Francisco</t>
  </si>
  <si>
    <t>Aachen</t>
  </si>
  <si>
    <t>Torino</t>
  </si>
  <si>
    <t>Kirkland</t>
  </si>
  <si>
    <t>Paris</t>
  </si>
  <si>
    <t>Vancouver</t>
  </si>
  <si>
    <t>Butte</t>
  </si>
  <si>
    <t>Walla Walla</t>
  </si>
  <si>
    <t>Caracas</t>
  </si>
  <si>
    <t>Sum of total_orders</t>
  </si>
  <si>
    <t>Row Labels</t>
  </si>
  <si>
    <t>Grand Total</t>
  </si>
  <si>
    <t>revenue_per_customer</t>
  </si>
  <si>
    <t>Average of revenue_per_customer</t>
  </si>
  <si>
    <t>London(UK) has the highest customer concentration and contributes significantly to overall order volume, making it a key market for customer acquisition and retention strategies.</t>
  </si>
  <si>
    <t>Graz (Austria) and Cunewalde (Germany) Show Exceptional Customer Loyalty</t>
  </si>
  <si>
    <t>Both cities have only 1 customer.</t>
  </si>
  <si>
    <t>Each customer placed 27 orders.</t>
  </si>
  <si>
    <t>Boise (USA) Has the Most Active Individual Customer</t>
  </si>
  <si>
    <t>1 customer</t>
  </si>
  <si>
    <t>28 orders</t>
  </si>
  <si>
    <t>Average orders per customer = 28</t>
  </si>
  <si>
    <t>Austria has the highest-value customer in the dataset. Although the customer base is small, revenue generation is exceptionally high.</t>
  </si>
  <si>
    <t>Germany has the widest geographic customer distribution, indicating strong market coverage and diversified revenue sources.</t>
  </si>
  <si>
    <t>CompanyName</t>
  </si>
  <si>
    <t>Preferred_Category</t>
  </si>
  <si>
    <t>order_count</t>
  </si>
  <si>
    <t>total_spend</t>
  </si>
  <si>
    <t>customer_segment</t>
  </si>
  <si>
    <t>Ernst Handel</t>
  </si>
  <si>
    <t>Dairy Products</t>
  </si>
  <si>
    <t>Champion</t>
  </si>
  <si>
    <t>QUICK-Stop</t>
  </si>
  <si>
    <t>Beverages</t>
  </si>
  <si>
    <t>Berglunds snabbkÃ¶p</t>
  </si>
  <si>
    <t>Save-a-lot Markets</t>
  </si>
  <si>
    <t>Meat/Poultry</t>
  </si>
  <si>
    <t>Bon app'</t>
  </si>
  <si>
    <t>Seafood</t>
  </si>
  <si>
    <t>HILARIÃ“N-Abastos</t>
  </si>
  <si>
    <t>Vaffeljernet</t>
  </si>
  <si>
    <t>Condiments</t>
  </si>
  <si>
    <t>Loyal Customer</t>
  </si>
  <si>
    <t>LILA-Supermercado</t>
  </si>
  <si>
    <t>KÃ¶niglich Essen</t>
  </si>
  <si>
    <t>Rattlesnake Canyon Grocery</t>
  </si>
  <si>
    <t>Queen Cozinha</t>
  </si>
  <si>
    <t>Frankenversand</t>
  </si>
  <si>
    <t>Wartian Herkku</t>
  </si>
  <si>
    <t>LINO-Delicateses</t>
  </si>
  <si>
    <t>Lehmanns Marktstand</t>
  </si>
  <si>
    <t>FURIB</t>
  </si>
  <si>
    <t>Furia Bacalhau e Frutos do Mar</t>
  </si>
  <si>
    <t>WANDK</t>
  </si>
  <si>
    <t>Die Wandernde Kuh</t>
  </si>
  <si>
    <t>GODOS</t>
  </si>
  <si>
    <t>Godos Cocina TÃ­pica</t>
  </si>
  <si>
    <t>AROUT</t>
  </si>
  <si>
    <t>Around the Horn</t>
  </si>
  <si>
    <t>Confections</t>
  </si>
  <si>
    <t>Bottom-Dollar Markets</t>
  </si>
  <si>
    <t>Hanari Carnes</t>
  </si>
  <si>
    <t>TORTU</t>
  </si>
  <si>
    <t>Tortuga Restaurante</t>
  </si>
  <si>
    <t>Hungry Owl All-Night Grocers</t>
  </si>
  <si>
    <t>ISLAT</t>
  </si>
  <si>
    <t>Island Trading</t>
  </si>
  <si>
    <t>QUEDE</t>
  </si>
  <si>
    <t>Que DelÃ­cia</t>
  </si>
  <si>
    <t>White Clover Markets</t>
  </si>
  <si>
    <t>ALFKI</t>
  </si>
  <si>
    <t>Alfreds Futterkiste</t>
  </si>
  <si>
    <t>ANATR</t>
  </si>
  <si>
    <t>Ana Trujillo Emparedados y helados</t>
  </si>
  <si>
    <t>ANTON</t>
  </si>
  <si>
    <t>Antonio Moreno TaquerÃ­a</t>
  </si>
  <si>
    <t>GREAL</t>
  </si>
  <si>
    <t>Great Lakes Food Market</t>
  </si>
  <si>
    <t>Folk och fÃ¤ HB</t>
  </si>
  <si>
    <t>Produce</t>
  </si>
  <si>
    <t>OLDWO</t>
  </si>
  <si>
    <t>Old World Delicatessen</t>
  </si>
  <si>
    <t>BSBEV</t>
  </si>
  <si>
    <t>B's Beverages</t>
  </si>
  <si>
    <t>Grains/Cereals</t>
  </si>
  <si>
    <t>OTTIK</t>
  </si>
  <si>
    <t>Ottilies KÃ¤seladen</t>
  </si>
  <si>
    <t>CHOPS</t>
  </si>
  <si>
    <t>Chop-suey Chinese</t>
  </si>
  <si>
    <t>RANCH</t>
  </si>
  <si>
    <t>Rancho grande</t>
  </si>
  <si>
    <t>REGGC</t>
  </si>
  <si>
    <t>Reggiani Caseifici</t>
  </si>
  <si>
    <t>Richter Supermarkt</t>
  </si>
  <si>
    <t>Seven Seas Imports</t>
  </si>
  <si>
    <t>SuprÃªmes dÃ©lices</t>
  </si>
  <si>
    <t>FAMIA</t>
  </si>
  <si>
    <t>Familia Arquibaldo</t>
  </si>
  <si>
    <t>WOLZA</t>
  </si>
  <si>
    <t>Wolski  Zajazd</t>
  </si>
  <si>
    <t>VICTE</t>
  </si>
  <si>
    <t>Victuailles en stock</t>
  </si>
  <si>
    <t>CACTU</t>
  </si>
  <si>
    <t>Cactus Comidas para llevar</t>
  </si>
  <si>
    <t>Ocassional Customer</t>
  </si>
  <si>
    <t>Blondel pÃ¨re et fils</t>
  </si>
  <si>
    <t>Big Spender</t>
  </si>
  <si>
    <t>SANTG</t>
  </si>
  <si>
    <t>SantÃ© Gourmet</t>
  </si>
  <si>
    <t>RICAR</t>
  </si>
  <si>
    <t>Ricardo Adocicados</t>
  </si>
  <si>
    <t>MÃ¨re Paillarde</t>
  </si>
  <si>
    <t>ROMEY</t>
  </si>
  <si>
    <t>Romero y tomillo</t>
  </si>
  <si>
    <t>WILMK</t>
  </si>
  <si>
    <t>Wilman Kala</t>
  </si>
  <si>
    <t>LETSS</t>
  </si>
  <si>
    <t>Let's Stop N Shop</t>
  </si>
  <si>
    <t>TRADH</t>
  </si>
  <si>
    <t>TradiÃ§Ã£o Hipermercados</t>
  </si>
  <si>
    <t>FOLIG</t>
  </si>
  <si>
    <t>Folies gourmandes</t>
  </si>
  <si>
    <t>MORGK</t>
  </si>
  <si>
    <t>Morgenstern Gesundkost</t>
  </si>
  <si>
    <t>MAGAA</t>
  </si>
  <si>
    <t>Magazzini Alimentari Riuniti</t>
  </si>
  <si>
    <t>LACOR</t>
  </si>
  <si>
    <t>La corne d'abondance</t>
  </si>
  <si>
    <t>PICCO</t>
  </si>
  <si>
    <t>Piccolo und mehr</t>
  </si>
  <si>
    <t>MAISD</t>
  </si>
  <si>
    <t>Maison Dewey</t>
  </si>
  <si>
    <t>VINET</t>
  </si>
  <si>
    <t>Vins et alcools Chevalier</t>
  </si>
  <si>
    <t>FRANS</t>
  </si>
  <si>
    <t>Franchi S.p.A.</t>
  </si>
  <si>
    <t>WELLI</t>
  </si>
  <si>
    <t>Wellington Importadora</t>
  </si>
  <si>
    <t>LONEP</t>
  </si>
  <si>
    <t>Lonesome Pine Restaurant</t>
  </si>
  <si>
    <t>PERIC</t>
  </si>
  <si>
    <t>Pericles Comidas clÃ¡sicas</t>
  </si>
  <si>
    <t>PRINI</t>
  </si>
  <si>
    <t>Princesa Isabel Vinhos</t>
  </si>
  <si>
    <t>LAUGB</t>
  </si>
  <si>
    <t>Laughing Bacchus Wine Cellars</t>
  </si>
  <si>
    <t>LAMAI</t>
  </si>
  <si>
    <t>La maison d'Asie</t>
  </si>
  <si>
    <t>HUNGC</t>
  </si>
  <si>
    <t>Hungry Coyote Import Store</t>
  </si>
  <si>
    <t>SPECD</t>
  </si>
  <si>
    <t>SpÃ©cialitÃ©s du monde</t>
  </si>
  <si>
    <t>SPLIR</t>
  </si>
  <si>
    <t>Split Rail Beer &amp; Ale</t>
  </si>
  <si>
    <t>NORTS</t>
  </si>
  <si>
    <t>North/South</t>
  </si>
  <si>
    <t>OCEAN</t>
  </si>
  <si>
    <t>OcÃ©ano AtlÃ¡ntico Ltda.</t>
  </si>
  <si>
    <t>TRAIH</t>
  </si>
  <si>
    <t>Trail's Head Gourmet Provisioners</t>
  </si>
  <si>
    <t>GOURL</t>
  </si>
  <si>
    <t>Gourmet Lanchonetes</t>
  </si>
  <si>
    <t>BOLID</t>
  </si>
  <si>
    <t>BÃ³lido Comidas preparadas</t>
  </si>
  <si>
    <t>CENTC</t>
  </si>
  <si>
    <t>Centro comercial Moctezuma</t>
  </si>
  <si>
    <t>COMMI</t>
  </si>
  <si>
    <t>ComÃ©rcio Mineiro</t>
  </si>
  <si>
    <t>TOMSP</t>
  </si>
  <si>
    <t>Toms SpezialitÃ¤ten</t>
  </si>
  <si>
    <t>SIMOB</t>
  </si>
  <si>
    <t>Simons bistro</t>
  </si>
  <si>
    <t>EASTC</t>
  </si>
  <si>
    <t>Eastern Connection</t>
  </si>
  <si>
    <t>LAZYK</t>
  </si>
  <si>
    <t>Lazy K Kountry Store</t>
  </si>
  <si>
    <t>GROSR</t>
  </si>
  <si>
    <t>GROSELLA-Restaurante</t>
  </si>
  <si>
    <t>DUMON</t>
  </si>
  <si>
    <t>Du monde entier</t>
  </si>
  <si>
    <t>CONSH</t>
  </si>
  <si>
    <t>Consolidated Holdings</t>
  </si>
  <si>
    <t>BLAUS</t>
  </si>
  <si>
    <t>Blauer See Delikatessen</t>
  </si>
  <si>
    <t>THEBI</t>
  </si>
  <si>
    <t>The Big Cheese</t>
  </si>
  <si>
    <t>THECR</t>
  </si>
  <si>
    <t>The Cracker Box</t>
  </si>
  <si>
    <t>FRANR</t>
  </si>
  <si>
    <t>France restauration</t>
  </si>
  <si>
    <t>DRACD</t>
  </si>
  <si>
    <t>Drachenblut Delikatessen</t>
  </si>
  <si>
    <t>GALED</t>
  </si>
  <si>
    <t>GalerÃ­a del gastrÃ³nomo</t>
  </si>
  <si>
    <t>Count of CustomerID</t>
  </si>
  <si>
    <t>Count of customer_segment</t>
  </si>
  <si>
    <t>Loyal customers place frequent orders and contribute significantly to business stability through recurring purchases.</t>
  </si>
  <si>
    <t>Champion customers contribute a disproportionately large share of total revenue despite representing a smaller percentage of the customer base.</t>
  </si>
  <si>
    <t>Some customers generate above-average revenue despite placing fewer orders, indicating larger order values and premium purchasing behavior.</t>
  </si>
  <si>
    <t>Most customers belong to the Occasional Customer segment, suggesting opportunities for targeted retention and upselling campaigns.</t>
  </si>
  <si>
    <t>Preferred Categories Differ Across Segments</t>
  </si>
  <si>
    <t>Examples:</t>
  </si>
  <si>
    <t>Champions → Beverages</t>
  </si>
  <si>
    <t>Big Spenders → Seafood</t>
  </si>
  <si>
    <t>Loyal Customers → Confections</t>
  </si>
  <si>
    <t>ProductID</t>
  </si>
  <si>
    <t>product_wise_revenue</t>
  </si>
  <si>
    <t>total_revenue</t>
  </si>
  <si>
    <t>contribution_percentage</t>
  </si>
  <si>
    <t>Cumulative %</t>
  </si>
  <si>
    <t>Sum of product_wise_revenue</t>
  </si>
  <si>
    <t>Sum of contribution_percentage</t>
  </si>
  <si>
    <t>A large number of products contribute less than 1% of revenue individually, indicating a long-tail sales distribution.</t>
  </si>
  <si>
    <t>The business is highly dependent on a small group of products. Any disruption in the availability or demand of these products could significantly impact overall revenue.</t>
  </si>
  <si>
    <t>Several products generate negligible revenue (&lt;0.5%), presenting opportunities for promotional campaigns, bundling strategies, or inventory rationalization.</t>
  </si>
  <si>
    <r>
      <t>Top 3 Products Generate Nearly 23% Revenue.</t>
    </r>
    <r>
      <rPr>
        <b/>
        <sz val="11"/>
        <color theme="1"/>
        <rFont val="Calibri"/>
        <family val="2"/>
        <scheme val="minor"/>
      </rPr>
      <t xml:space="preserve"> (11.17 + 6.35 + 5.62 = 23.14%)</t>
    </r>
  </si>
  <si>
    <r>
      <t xml:space="preserve">Product 38 alone contributes more than one-tenth of the company's total revenue, making it the most critical product in the portfolio. </t>
    </r>
    <r>
      <rPr>
        <b/>
        <sz val="11"/>
        <color theme="1"/>
        <rFont val="Calibri"/>
        <family val="2"/>
        <scheme val="minor"/>
      </rPr>
      <t>(11.17%)</t>
    </r>
  </si>
  <si>
    <t>Are there any correlations between orders and customer location or product category?</t>
  </si>
  <si>
    <t xml:space="preserve"> CategoryName</t>
  </si>
  <si>
    <t>TotalOrders</t>
  </si>
  <si>
    <t xml:space="preserve"> Revenue</t>
  </si>
  <si>
    <t>cust_segmentation</t>
  </si>
  <si>
    <t>Customer_count</t>
  </si>
  <si>
    <t>avg_ord_per_cust</t>
  </si>
  <si>
    <t>Total_Orders</t>
  </si>
  <si>
    <t>Regular</t>
  </si>
  <si>
    <t>Ocassional</t>
  </si>
  <si>
    <t>Frequent</t>
  </si>
  <si>
    <t>Very Frequent</t>
  </si>
  <si>
    <t>Sum of avg_ord_per_cust</t>
  </si>
  <si>
    <t>Column Labels</t>
  </si>
  <si>
    <t>Sum of Customer_count</t>
  </si>
  <si>
    <t>A small group of customers places orders very frequently.</t>
  </si>
  <si>
    <t>Most customers are occasional or regular buyers.</t>
  </si>
  <si>
    <t>Frequent and Very Frequent customers contribute the majority of order volume.</t>
  </si>
  <si>
    <t>Customer ordering behavior is highly uneven, suggesting opportunities for loyalty programs and targeted retention strategies.</t>
  </si>
  <si>
    <t>country</t>
  </si>
  <si>
    <t>city</t>
  </si>
  <si>
    <t>title</t>
  </si>
  <si>
    <t>employee_count</t>
  </si>
  <si>
    <t>Sales Representative</t>
  </si>
  <si>
    <t>Tacoma</t>
  </si>
  <si>
    <t>Vice President_Sales</t>
  </si>
  <si>
    <t>Redmond</t>
  </si>
  <si>
    <t>Sales Manager</t>
  </si>
  <si>
    <t>Inside Sales Coordinator</t>
  </si>
  <si>
    <t>Sum of employee_count</t>
  </si>
  <si>
    <t>The workforce is heavily concentrated in Sales Representative roles, indicating a sales-driven organization.</t>
  </si>
  <si>
    <t>Employees are primarily concentrated in a few cities, suggesting centralized operations.</t>
  </si>
  <si>
    <t>Certain locations host a mix of employee roles, while others are dominated by specific functions.</t>
  </si>
  <si>
    <t>employee_name</t>
  </si>
  <si>
    <t>hire_year</t>
  </si>
  <si>
    <t>Nancy Davolio</t>
  </si>
  <si>
    <t>Andrew Fuller</t>
  </si>
  <si>
    <t>Janet Leverling</t>
  </si>
  <si>
    <t>Margaret Peacock</t>
  </si>
  <si>
    <t>Steven Buchanan</t>
  </si>
  <si>
    <t>Michael Suyama</t>
  </si>
  <si>
    <t>Robert King</t>
  </si>
  <si>
    <t>Laura Callahan</t>
  </si>
  <si>
    <t>Anne Dodsworth</t>
  </si>
  <si>
    <t>Count of employee_name</t>
  </si>
  <si>
    <t>Average of hire_year</t>
  </si>
  <si>
    <t>Senior leadership roles such as Sales Manager and Vice President were hired earlier than most Sales Representatives, indicating that management positions were established before team expansion.</t>
  </si>
  <si>
    <t>The majority of hiring occurred within a relatively short time frame, suggesting a period of organizational growth.</t>
  </si>
  <si>
    <t>Sales Representative roles constitute most of the workforce and were hired across multiple years, reflecting continued investment in sales operations.</t>
  </si>
  <si>
    <t>Employee tenure varies considerably, with some employees having significantly longer service durations than others, indicating a mix of experienced and newer staff.</t>
  </si>
  <si>
    <t>employeecount</t>
  </si>
  <si>
    <t>mr_count</t>
  </si>
  <si>
    <t>ms_count</t>
  </si>
  <si>
    <t>mrs_count</t>
  </si>
  <si>
    <t>dr_count</t>
  </si>
  <si>
    <t>Sum of employeecount</t>
  </si>
  <si>
    <t>The Northwind organization has a lean management structure, with a single Vice President of Sales overseeing a workforce primarily composed of Sales Representatives.</t>
  </si>
  <si>
    <t>The workforce is heavily concentrated in the Sales Representative role, which accounts for the majority of employees.</t>
  </si>
  <si>
    <t>The organization appears sales-focused, with most personnel dedicated to customer-facing and revenue-generating activities.</t>
  </si>
  <si>
    <t>productid</t>
  </si>
  <si>
    <t>productname</t>
  </si>
  <si>
    <t>unitprice</t>
  </si>
  <si>
    <t>unitsinstock</t>
  </si>
  <si>
    <t>quantitysold</t>
  </si>
  <si>
    <t>revenue</t>
  </si>
  <si>
    <t>Côte de Blaye</t>
  </si>
  <si>
    <t>Thüringer Rostbratwurst</t>
  </si>
  <si>
    <t>Raclette Courdavault</t>
  </si>
  <si>
    <t>Tarte au sucre</t>
  </si>
  <si>
    <t>Camembert Pierrot</t>
  </si>
  <si>
    <t>Gnocchi di nonna Alice</t>
  </si>
  <si>
    <t>Manjimup Dried Apples</t>
  </si>
  <si>
    <t>Alice Mutton</t>
  </si>
  <si>
    <t>Carnarvon Tigers</t>
  </si>
  <si>
    <t>Rössle Sauerkraut</t>
  </si>
  <si>
    <t>Mozzarella di Giovanni</t>
  </si>
  <si>
    <t>Ipoh Coffee</t>
  </si>
  <si>
    <t>Sir Rodney's Marmalade</t>
  </si>
  <si>
    <t>Uncle Bob's Organic Dried Pears</t>
  </si>
  <si>
    <t>Wimmers gute Semmelknödel</t>
  </si>
  <si>
    <t>Gudbrandsdalsost</t>
  </si>
  <si>
    <t>Ikura</t>
  </si>
  <si>
    <t>Perth Pasties</t>
  </si>
  <si>
    <t>Gumbär Gummibärchen</t>
  </si>
  <si>
    <t>Fløtemysost</t>
  </si>
  <si>
    <t>Boston Crab Meat</t>
  </si>
  <si>
    <t>Pâté chinois</t>
  </si>
  <si>
    <t>Pavlova</t>
  </si>
  <si>
    <t>Vegie-spread</t>
  </si>
  <si>
    <t>Chang</t>
  </si>
  <si>
    <t>Lakkalikööri</t>
  </si>
  <si>
    <t>Schoggi Schokolade</t>
  </si>
  <si>
    <t>Gorgonzola Telino</t>
  </si>
  <si>
    <t>Sirop d'érable</t>
  </si>
  <si>
    <t>Louisiana Fiery Hot Pepper Sauce</t>
  </si>
  <si>
    <t>Steeleye Stout</t>
  </si>
  <si>
    <t>Inlagd Sill</t>
  </si>
  <si>
    <t>Nord-Ost Matjeshering</t>
  </si>
  <si>
    <t>Queso Cabrales</t>
  </si>
  <si>
    <t>Chai</t>
  </si>
  <si>
    <t>Northwoods Cranberry Sauce</t>
  </si>
  <si>
    <t>Chartreuse verte</t>
  </si>
  <si>
    <t>Queso Manchego La Pastora</t>
  </si>
  <si>
    <t>Outback Lager</t>
  </si>
  <si>
    <t>Gula Malacca</t>
  </si>
  <si>
    <t>Maxilaku</t>
  </si>
  <si>
    <t>Original Frankfurter grüne Soße</t>
  </si>
  <si>
    <t>Sir Rodney's Scones</t>
  </si>
  <si>
    <t>Scottish Longbreads</t>
  </si>
  <si>
    <t>Jack's New England Clam Chowder</t>
  </si>
  <si>
    <t>Singaporean Hokkien Fried Mee</t>
  </si>
  <si>
    <t>Chef Anton's Cajun Seasoning</t>
  </si>
  <si>
    <t>Mascarpone Fabioli</t>
  </si>
  <si>
    <t>Rhönbräu Klosterbier</t>
  </si>
  <si>
    <t>Tofu</t>
  </si>
  <si>
    <t>Ravioli Angelo</t>
  </si>
  <si>
    <t>Mishi Kobe Niku</t>
  </si>
  <si>
    <t>Grandma's Boysenberry Spread</t>
  </si>
  <si>
    <t>Gustaf's Knäckebröd</t>
  </si>
  <si>
    <t>Sasquatch Ale</t>
  </si>
  <si>
    <t>Spegesild</t>
  </si>
  <si>
    <t>Escargots de Bourgogne</t>
  </si>
  <si>
    <t>Teatime Chocolate Biscuits</t>
  </si>
  <si>
    <t>Chef Anton's Gumbo Mix</t>
  </si>
  <si>
    <t>Konbu</t>
  </si>
  <si>
    <t>Tourtière</t>
  </si>
  <si>
    <t>Tunnbröd</t>
  </si>
  <si>
    <t>Guaraná Fantástica</t>
  </si>
  <si>
    <t>Røgede sild</t>
  </si>
  <si>
    <t>Röd Kaviar</t>
  </si>
  <si>
    <t>Zaanse koeken</t>
  </si>
  <si>
    <t>NuNuCa Nuß-Nougat-Creme</t>
  </si>
  <si>
    <t>Valkoinen suklaa</t>
  </si>
  <si>
    <t>Louisiana Hot Spiced Okra</t>
  </si>
  <si>
    <t>Filo Mix</t>
  </si>
  <si>
    <t>Aniseed Syrup</t>
  </si>
  <si>
    <t>Gravad lax</t>
  </si>
  <si>
    <t>Longlife Tofu</t>
  </si>
  <si>
    <t>Laughing Lumberjack Lager</t>
  </si>
  <si>
    <t>Genen Shouyu</t>
  </si>
  <si>
    <t>Geitost</t>
  </si>
  <si>
    <t>Chocolade</t>
  </si>
  <si>
    <t>Sum of revenue</t>
  </si>
  <si>
    <t>High-priced products generate substantial revenue.</t>
  </si>
  <si>
    <t>Some low-priced products generate high revenue through volume sales.</t>
  </si>
  <si>
    <t>Revenue is influenced by both price and quantity sold.</t>
  </si>
  <si>
    <t>Useful for identifying best-performing products.</t>
  </si>
  <si>
    <t>Product pricing alone does not determine sales performance. Several moderately priced products generate higher revenue than premium-priced products due to stronger demand.</t>
  </si>
  <si>
    <t>High-revenue products tend to maintain lower inventory levels, suggesting strong sales velocity and possible replenishment requirements.</t>
  </si>
  <si>
    <t>Certain products have high stock levels but relatively low revenue, indicating potential overstocking or slow-moving inventory.</t>
  </si>
  <si>
    <t>Revenue appears to be driven by a combination of product price and quantity sold rather than price alone.</t>
  </si>
  <si>
    <t>Some low-priced products contribute significantly to revenue through high sales volume, making them important products despite lower margins.</t>
  </si>
  <si>
    <t>order_month</t>
  </si>
  <si>
    <t>total_demand</t>
  </si>
  <si>
    <t>Sum of total_demand</t>
  </si>
  <si>
    <t>Demand peaks during specific months, indicating seasonal purchasing behavior.</t>
  </si>
  <si>
    <t>Certain months consistently experience lower demand, suggesting opportunities for promotional campaigns.</t>
  </si>
  <si>
    <t>Demand follows a seasonal pattern rather than remaining constant throughout the year.</t>
  </si>
  <si>
    <t>High-demand months should be prioritized for inventory replenishment to avoid stock shortages.</t>
  </si>
  <si>
    <t>performanceflag</t>
  </si>
  <si>
    <t>High Revenue Anomaly</t>
  </si>
  <si>
    <t>Normal</t>
  </si>
  <si>
    <t>Low Revenue Anomaly</t>
  </si>
  <si>
    <t>Product 38 is the highest revenue-generating product, contributing 11.17% of total revenue.</t>
  </si>
  <si>
    <t>The top 10 products contribute approximately 44% of total revenue, indicating strong revenue concentration.</t>
  </si>
  <si>
    <t>Revenue follows a Pareto-like distribution where a small number of products drive a significant portion of sales.</t>
  </si>
  <si>
    <t>totalsuppliers</t>
  </si>
  <si>
    <t>totalproducts</t>
  </si>
  <si>
    <t>avgproductprice</t>
  </si>
  <si>
    <t>maxprice</t>
  </si>
  <si>
    <t>minprice</t>
  </si>
  <si>
    <t>Australia</t>
  </si>
  <si>
    <t>Japan</t>
  </si>
  <si>
    <t>Singapore</t>
  </si>
  <si>
    <t xml:space="preserve">Sweden </t>
  </si>
  <si>
    <t>Netherlands</t>
  </si>
  <si>
    <t>Sum of avgproductprice</t>
  </si>
  <si>
    <t>Suppliers from France and Germany offer higher-priced products on average, while suppliers from Australia countries provide more competitively priced products.</t>
  </si>
  <si>
    <t>Sum of totalsuppliers</t>
  </si>
  <si>
    <t>The supplier network is concentrated in a few countries, with the USA and European nations accounting for the majority of suppliers.</t>
  </si>
  <si>
    <t>categoryname</t>
  </si>
  <si>
    <t>companyname</t>
  </si>
  <si>
    <t>product_supplied</t>
  </si>
  <si>
    <t>New Orleans Cajun Delights</t>
  </si>
  <si>
    <t>Specialty Biscuits, Ltd.</t>
  </si>
  <si>
    <t>Heli Süßwaren GmbH &amp; Co. KG</t>
  </si>
  <si>
    <t>Svensk Sjöföda AB</t>
  </si>
  <si>
    <t>Bigfoot Breweries</t>
  </si>
  <si>
    <t>Norske Meierier</t>
  </si>
  <si>
    <t>Formaggi Fortini s.r.l.</t>
  </si>
  <si>
    <t>Lyngbysild</t>
  </si>
  <si>
    <t>Exotic Liquids</t>
  </si>
  <si>
    <t>New England Seafood Cannery</t>
  </si>
  <si>
    <t>Pasta Buttini s.r.l.</t>
  </si>
  <si>
    <t>PB Knäckebröd AB</t>
  </si>
  <si>
    <t>Aux joyeux ecclésiastiques</t>
  </si>
  <si>
    <t>Ma Maison</t>
  </si>
  <si>
    <t>Karkki Oy</t>
  </si>
  <si>
    <t>Zaanse Snoepfabriek</t>
  </si>
  <si>
    <t>Cooperativa de Quesos 'Las Cabras'</t>
  </si>
  <si>
    <t>Gai pâturage</t>
  </si>
  <si>
    <t>Grandma Kelly's Homestead</t>
  </si>
  <si>
    <t>Plutzer Lebensmittelgroßmärkte AG</t>
  </si>
  <si>
    <t>Tokyo Traders</t>
  </si>
  <si>
    <t>G'day, Mate</t>
  </si>
  <si>
    <t>Mayumi's</t>
  </si>
  <si>
    <t>Escargots Nouveaux</t>
  </si>
  <si>
    <t>Nord-Ost-Fisch Handelsgesellschaft mbH</t>
  </si>
  <si>
    <t>Pavlova, Ltd.</t>
  </si>
  <si>
    <t>Leka Trading</t>
  </si>
  <si>
    <t>Refrescos Americanas LTDA</t>
  </si>
  <si>
    <t>Forêts d'érables</t>
  </si>
  <si>
    <t>Sum of product_supplied</t>
  </si>
  <si>
    <t>Supplier participation varies significantly across product categories, indicating uneven sourcing patterns.</t>
  </si>
  <si>
    <t>Categories with a larger number of suppliers benefit from lower supply risk and greater procurement flexibility.</t>
  </si>
  <si>
    <t>Certain categories rely on only a few suppliers, making them more vulnerable to supplier disruptions.</t>
  </si>
  <si>
    <t>Categories with high product counts tend to attract more suppliers, suggesting stronger market competition.</t>
  </si>
  <si>
    <t>avgprice</t>
  </si>
  <si>
    <t>Sum of avgprice</t>
  </si>
  <si>
    <t>Product pricing varies significantly across supplier regions, indicating regional differences in sourcing costs and product positioning.</t>
  </si>
  <si>
    <t>Certain countries specialize in premium-priced categories, while others focus on lower-priced product segments.</t>
  </si>
  <si>
    <t>Some categories exhibit relatively consistent pricing across regions, whereas others show substantial regional price variation.</t>
  </si>
  <si>
    <t>Regional specialization suggests opportunities for strategic sourcing based on category-specific pricing advantages.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</si>
</sst>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24292E"/>
      <name val="Plus Jakarta Sans"/>
    </font>
    <font>
      <sz val="14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3" borderId="0" xfId="0" applyFont="1" applyFill="1" applyAlignment="1">
      <alignment horizontal="center"/>
    </xf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1" fillId="4" borderId="4" xfId="0" applyFont="1" applyFill="1" applyBorder="1"/>
    <xf numFmtId="0" fontId="3" fillId="4" borderId="0" xfId="0" applyFont="1" applyFill="1"/>
    <xf numFmtId="0" fontId="0" fillId="4" borderId="0" xfId="0" applyFill="1"/>
    <xf numFmtId="0" fontId="0" fillId="4" borderId="5" xfId="0" applyFill="1" applyBorder="1"/>
    <xf numFmtId="0" fontId="0" fillId="4" borderId="4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3" fillId="2" borderId="9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3" fillId="4" borderId="0" xfId="0" applyFont="1" applyFill="1" applyAlignment="1">
      <alignment vertical="center"/>
    </xf>
    <xf numFmtId="0" fontId="3" fillId="4" borderId="0" xfId="0" applyFont="1" applyFill="1" applyAlignment="1">
      <alignment horizontal="left" vertical="center" indent="1"/>
    </xf>
    <xf numFmtId="0" fontId="3" fillId="2" borderId="10" xfId="0" applyFont="1" applyFill="1" applyBorder="1" applyAlignment="1">
      <alignment horizontal="center"/>
    </xf>
    <xf numFmtId="0" fontId="3" fillId="4" borderId="1" xfId="0" applyFont="1" applyFill="1" applyBorder="1"/>
    <xf numFmtId="0" fontId="3" fillId="4" borderId="2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3" fillId="4" borderId="5" xfId="0" applyFont="1" applyFill="1" applyBorder="1"/>
    <xf numFmtId="0" fontId="3" fillId="4" borderId="6" xfId="0" applyFont="1" applyFill="1" applyBorder="1"/>
    <xf numFmtId="0" fontId="3" fillId="4" borderId="7" xfId="0" applyFont="1" applyFill="1" applyBorder="1" applyAlignment="1">
      <alignment horizontal="left" vertical="center" indent="1"/>
    </xf>
    <xf numFmtId="0" fontId="3" fillId="4" borderId="7" xfId="0" applyFont="1" applyFill="1" applyBorder="1"/>
    <xf numFmtId="0" fontId="3" fillId="4" borderId="8" xfId="0" applyFont="1" applyFill="1" applyBorder="1"/>
    <xf numFmtId="0" fontId="4" fillId="4" borderId="2" xfId="0" applyFont="1" applyFill="1" applyBorder="1"/>
    <xf numFmtId="0" fontId="4" fillId="4" borderId="3" xfId="0" applyFont="1" applyFill="1" applyBorder="1"/>
    <xf numFmtId="0" fontId="4" fillId="4" borderId="0" xfId="0" applyFont="1" applyFill="1"/>
    <xf numFmtId="0" fontId="4" fillId="4" borderId="5" xfId="0" applyFont="1" applyFill="1" applyBorder="1"/>
    <xf numFmtId="0" fontId="4" fillId="4" borderId="6" xfId="0" applyFont="1" applyFill="1" applyBorder="1"/>
    <xf numFmtId="0" fontId="4" fillId="4" borderId="7" xfId="0" applyFont="1" applyFill="1" applyBorder="1"/>
    <xf numFmtId="0" fontId="4" fillId="4" borderId="8" xfId="0" applyFont="1" applyFill="1" applyBorder="1"/>
    <xf numFmtId="0" fontId="5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vertical="center" wrapText="1"/>
    </xf>
    <xf numFmtId="0" fontId="6" fillId="4" borderId="1" xfId="0" applyFont="1" applyFill="1" applyBorder="1"/>
    <xf numFmtId="0" fontId="6" fillId="4" borderId="2" xfId="0" applyFont="1" applyFill="1" applyBorder="1"/>
    <xf numFmtId="0" fontId="6" fillId="4" borderId="4" xfId="0" applyFont="1" applyFill="1" applyBorder="1"/>
    <xf numFmtId="0" fontId="6" fillId="4" borderId="0" xfId="0" applyFont="1" applyFill="1"/>
    <xf numFmtId="0" fontId="6" fillId="4" borderId="6" xfId="0" applyFont="1" applyFill="1" applyBorder="1"/>
    <xf numFmtId="0" fontId="6" fillId="4" borderId="7" xfId="0" applyFont="1" applyFill="1" applyBorder="1"/>
    <xf numFmtId="0" fontId="0" fillId="0" borderId="15" xfId="0" applyBorder="1"/>
    <xf numFmtId="0" fontId="7" fillId="4" borderId="1" xfId="0" applyFont="1" applyFill="1" applyBorder="1"/>
    <xf numFmtId="0" fontId="7" fillId="4" borderId="2" xfId="0" applyFont="1" applyFill="1" applyBorder="1"/>
    <xf numFmtId="0" fontId="7" fillId="4" borderId="4" xfId="0" applyFont="1" applyFill="1" applyBorder="1"/>
    <xf numFmtId="0" fontId="7" fillId="4" borderId="0" xfId="0" applyFont="1" applyFill="1"/>
    <xf numFmtId="0" fontId="7" fillId="4" borderId="6" xfId="0" applyFont="1" applyFill="1" applyBorder="1"/>
    <xf numFmtId="0" fontId="7" fillId="4" borderId="7" xfId="0" applyFont="1" applyFill="1" applyBorder="1"/>
    <xf numFmtId="0" fontId="8" fillId="2" borderId="9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5" borderId="1" xfId="0" applyFont="1" applyFill="1" applyBorder="1"/>
    <xf numFmtId="0" fontId="3" fillId="5" borderId="2" xfId="0" applyFont="1" applyFill="1" applyBorder="1"/>
    <xf numFmtId="0" fontId="3" fillId="5" borderId="3" xfId="0" applyFont="1" applyFill="1" applyBorder="1"/>
    <xf numFmtId="0" fontId="3" fillId="5" borderId="4" xfId="0" applyFont="1" applyFill="1" applyBorder="1"/>
    <xf numFmtId="0" fontId="3" fillId="5" borderId="0" xfId="0" applyFont="1" applyFill="1"/>
    <xf numFmtId="0" fontId="3" fillId="5" borderId="5" xfId="0" applyFont="1" applyFill="1" applyBorder="1"/>
    <xf numFmtId="0" fontId="3" fillId="5" borderId="6" xfId="0" applyFont="1" applyFill="1" applyBorder="1"/>
    <xf numFmtId="0" fontId="3" fillId="5" borderId="7" xfId="0" applyFont="1" applyFill="1" applyBorder="1" applyAlignment="1">
      <alignment horizontal="left" vertical="center" indent="1"/>
    </xf>
    <xf numFmtId="0" fontId="3" fillId="5" borderId="7" xfId="0" applyFont="1" applyFill="1" applyBorder="1"/>
    <xf numFmtId="0" fontId="3" fillId="5" borderId="8" xfId="0" applyFont="1" applyFill="1" applyBorder="1"/>
    <xf numFmtId="0" fontId="3" fillId="2" borderId="0" xfId="0" applyFont="1" applyFill="1" applyAlignment="1">
      <alignment horizontal="center"/>
    </xf>
    <xf numFmtId="0" fontId="0" fillId="0" borderId="0" xfId="0" applyNumberFormat="1"/>
    <xf numFmtId="0" fontId="2" fillId="2" borderId="10" xfId="0" applyFont="1" applyFill="1" applyBorder="1" applyAlignment="1">
      <alignment horizontal="center"/>
    </xf>
    <xf numFmtId="0" fontId="3" fillId="4" borderId="0" xfId="0" applyFont="1" applyFill="1" applyBorder="1"/>
    <xf numFmtId="0" fontId="3" fillId="4" borderId="11" xfId="0" applyFont="1" applyFill="1" applyBorder="1"/>
    <xf numFmtId="0" fontId="3" fillId="4" borderId="12" xfId="0" applyFont="1" applyFill="1" applyBorder="1"/>
    <xf numFmtId="0" fontId="3" fillId="4" borderId="13" xfId="0" applyFont="1" applyFill="1" applyBorder="1"/>
  </cellXfs>
  <cellStyles count="1">
    <cellStyle name="Normal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26" Type="http://schemas.openxmlformats.org/officeDocument/2006/relationships/pivotCacheDefinition" Target="pivotCache/pivotCacheDefinition12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7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openxmlformats.org/officeDocument/2006/relationships/pivotCacheDefinition" Target="pivotCache/pivotCacheDefinition11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pivotCacheDefinition" Target="pivotCache/pivotCacheDefinition6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0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pivotCacheDefinition" Target="pivotCache/pivotCacheDefinition9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5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8.xml"/><Relationship Id="rId27" Type="http://schemas.openxmlformats.org/officeDocument/2006/relationships/pivotCacheDefinition" Target="pivotCache/pivotCacheDefinition13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1">
                <a:latin typeface="Algerian" panose="04020705040A02060702" pitchFamily="82" charset="0"/>
              </a:rPr>
              <a:t>CUSTOMER SEGMENTATION</a:t>
            </a:r>
          </a:p>
        </c:rich>
      </c:tx>
      <c:layout>
        <c:manualLayout>
          <c:xMode val="edge"/>
          <c:yMode val="edge"/>
          <c:x val="0.30274616079494127"/>
          <c:y val="1.78770928750165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v>Sum of total_sales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25"/>
              <c:pt idx="0">
                <c:v>BERGS</c:v>
              </c:pt>
              <c:pt idx="1">
                <c:v>BLONP</c:v>
              </c:pt>
              <c:pt idx="2">
                <c:v>BONAP</c:v>
              </c:pt>
              <c:pt idx="3">
                <c:v>BOTTM</c:v>
              </c:pt>
              <c:pt idx="4">
                <c:v>ERNSH</c:v>
              </c:pt>
              <c:pt idx="5">
                <c:v>FOLKO</c:v>
              </c:pt>
              <c:pt idx="6">
                <c:v>FRANK</c:v>
              </c:pt>
              <c:pt idx="7">
                <c:v>HANAR</c:v>
              </c:pt>
              <c:pt idx="8">
                <c:v>HILAA</c:v>
              </c:pt>
              <c:pt idx="9">
                <c:v>HUNGO</c:v>
              </c:pt>
              <c:pt idx="10">
                <c:v>KOENE</c:v>
              </c:pt>
              <c:pt idx="11">
                <c:v>LEHMS</c:v>
              </c:pt>
              <c:pt idx="12">
                <c:v>LILAS</c:v>
              </c:pt>
              <c:pt idx="13">
                <c:v>LINOD</c:v>
              </c:pt>
              <c:pt idx="14">
                <c:v>MEREP</c:v>
              </c:pt>
              <c:pt idx="15">
                <c:v>QUEEN</c:v>
              </c:pt>
              <c:pt idx="16">
                <c:v>QUICK</c:v>
              </c:pt>
              <c:pt idx="17">
                <c:v>RATTC</c:v>
              </c:pt>
              <c:pt idx="18">
                <c:v>RICSU</c:v>
              </c:pt>
              <c:pt idx="19">
                <c:v>SAVEA</c:v>
              </c:pt>
              <c:pt idx="20">
                <c:v>SEVES</c:v>
              </c:pt>
              <c:pt idx="21">
                <c:v>SUPRD</c:v>
              </c:pt>
              <c:pt idx="22">
                <c:v>VAFFE</c:v>
              </c:pt>
              <c:pt idx="23">
                <c:v>WARTH</c:v>
              </c:pt>
              <c:pt idx="24">
                <c:v>WHITC</c:v>
              </c:pt>
            </c:strLit>
          </c:cat>
          <c:val>
            <c:numLit>
              <c:formatCode>General</c:formatCode>
              <c:ptCount val="25"/>
              <c:pt idx="0">
                <c:v>24927.58</c:v>
              </c:pt>
              <c:pt idx="1">
                <c:v>18534.080000000002</c:v>
              </c:pt>
              <c:pt idx="2">
                <c:v>21170.5</c:v>
              </c:pt>
              <c:pt idx="3">
                <c:v>18089.38</c:v>
              </c:pt>
              <c:pt idx="4">
                <c:v>88226.08</c:v>
              </c:pt>
              <c:pt idx="5">
                <c:v>28757.56</c:v>
              </c:pt>
              <c:pt idx="6">
                <c:v>23831.26</c:v>
              </c:pt>
              <c:pt idx="7">
                <c:v>30107.37</c:v>
              </c:pt>
              <c:pt idx="8">
                <c:v>21041.26</c:v>
              </c:pt>
              <c:pt idx="9">
                <c:v>48636.959999999999</c:v>
              </c:pt>
              <c:pt idx="10">
                <c:v>28748.38</c:v>
              </c:pt>
              <c:pt idx="11">
                <c:v>17631.439999999999</c:v>
              </c:pt>
              <c:pt idx="12">
                <c:v>15402.68</c:v>
              </c:pt>
              <c:pt idx="13">
                <c:v>13143.38</c:v>
              </c:pt>
              <c:pt idx="14">
                <c:v>28872.19</c:v>
              </c:pt>
              <c:pt idx="15">
                <c:v>23690.42</c:v>
              </c:pt>
              <c:pt idx="16">
                <c:v>103971.06</c:v>
              </c:pt>
              <c:pt idx="17">
                <c:v>49842.080000000002</c:v>
              </c:pt>
              <c:pt idx="18">
                <c:v>15612.88</c:v>
              </c:pt>
              <c:pt idx="19">
                <c:v>85023</c:v>
              </c:pt>
              <c:pt idx="20">
                <c:v>16215.32</c:v>
              </c:pt>
              <c:pt idx="21">
                <c:v>21601.68</c:v>
              </c:pt>
              <c:pt idx="22">
                <c:v>15843.92</c:v>
              </c:pt>
              <c:pt idx="23">
                <c:v>15378.7</c:v>
              </c:pt>
              <c:pt idx="24">
                <c:v>17532.36</c:v>
              </c:pt>
            </c:numLit>
          </c:val>
          <c:extLst>
            <c:ext xmlns:c16="http://schemas.microsoft.com/office/drawing/2014/chart" uri="{C3380CC4-5D6E-409C-BE32-E72D297353CC}">
              <c16:uniqueId val="{00000002-FAAF-451A-9CB2-EF67AF4CD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54684559"/>
        <c:axId val="254676879"/>
      </c:barChart>
      <c:lineChart>
        <c:grouping val="standard"/>
        <c:varyColors val="0"/>
        <c:ser>
          <c:idx val="0"/>
          <c:order val="0"/>
          <c:tx>
            <c:v>Sum of total_orders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Lit>
              <c:ptCount val="25"/>
              <c:pt idx="0">
                <c:v>BERGS</c:v>
              </c:pt>
              <c:pt idx="1">
                <c:v>BLONP</c:v>
              </c:pt>
              <c:pt idx="2">
                <c:v>BONAP</c:v>
              </c:pt>
              <c:pt idx="3">
                <c:v>BOTTM</c:v>
              </c:pt>
              <c:pt idx="4">
                <c:v>ERNSH</c:v>
              </c:pt>
              <c:pt idx="5">
                <c:v>FOLKO</c:v>
              </c:pt>
              <c:pt idx="6">
                <c:v>FRANK</c:v>
              </c:pt>
              <c:pt idx="7">
                <c:v>HANAR</c:v>
              </c:pt>
              <c:pt idx="8">
                <c:v>HILAA</c:v>
              </c:pt>
              <c:pt idx="9">
                <c:v>HUNGO</c:v>
              </c:pt>
              <c:pt idx="10">
                <c:v>KOENE</c:v>
              </c:pt>
              <c:pt idx="11">
                <c:v>LEHMS</c:v>
              </c:pt>
              <c:pt idx="12">
                <c:v>LILAS</c:v>
              </c:pt>
              <c:pt idx="13">
                <c:v>LINOD</c:v>
              </c:pt>
              <c:pt idx="14">
                <c:v>MEREP</c:v>
              </c:pt>
              <c:pt idx="15">
                <c:v>QUEEN</c:v>
              </c:pt>
              <c:pt idx="16">
                <c:v>QUICK</c:v>
              </c:pt>
              <c:pt idx="17">
                <c:v>RATTC</c:v>
              </c:pt>
              <c:pt idx="18">
                <c:v>RICSU</c:v>
              </c:pt>
              <c:pt idx="19">
                <c:v>SAVEA</c:v>
              </c:pt>
              <c:pt idx="20">
                <c:v>SEVES</c:v>
              </c:pt>
              <c:pt idx="21">
                <c:v>SUPRD</c:v>
              </c:pt>
              <c:pt idx="22">
                <c:v>VAFFE</c:v>
              </c:pt>
              <c:pt idx="23">
                <c:v>WARTH</c:v>
              </c:pt>
              <c:pt idx="24">
                <c:v>WHITC</c:v>
              </c:pt>
            </c:strLit>
          </c:cat>
          <c:val>
            <c:numLit>
              <c:formatCode>General</c:formatCode>
              <c:ptCount val="25"/>
              <c:pt idx="0">
                <c:v>52</c:v>
              </c:pt>
              <c:pt idx="1">
                <c:v>26</c:v>
              </c:pt>
              <c:pt idx="2">
                <c:v>41</c:v>
              </c:pt>
              <c:pt idx="3">
                <c:v>30</c:v>
              </c:pt>
              <c:pt idx="4">
                <c:v>92</c:v>
              </c:pt>
              <c:pt idx="5">
                <c:v>44</c:v>
              </c:pt>
              <c:pt idx="6">
                <c:v>45</c:v>
              </c:pt>
              <c:pt idx="7">
                <c:v>28</c:v>
              </c:pt>
              <c:pt idx="8">
                <c:v>41</c:v>
              </c:pt>
              <c:pt idx="9">
                <c:v>52</c:v>
              </c:pt>
              <c:pt idx="10">
                <c:v>37</c:v>
              </c:pt>
              <c:pt idx="11">
                <c:v>35</c:v>
              </c:pt>
              <c:pt idx="12">
                <c:v>30</c:v>
              </c:pt>
              <c:pt idx="13">
                <c:v>30</c:v>
              </c:pt>
              <c:pt idx="14">
                <c:v>32</c:v>
              </c:pt>
              <c:pt idx="15">
                <c:v>37</c:v>
              </c:pt>
              <c:pt idx="16">
                <c:v>81</c:v>
              </c:pt>
              <c:pt idx="17">
                <c:v>46</c:v>
              </c:pt>
              <c:pt idx="18">
                <c:v>25</c:v>
              </c:pt>
              <c:pt idx="19">
                <c:v>102</c:v>
              </c:pt>
              <c:pt idx="20">
                <c:v>26</c:v>
              </c:pt>
              <c:pt idx="21">
                <c:v>32</c:v>
              </c:pt>
              <c:pt idx="22">
                <c:v>31</c:v>
              </c:pt>
              <c:pt idx="23">
                <c:v>35</c:v>
              </c:pt>
              <c:pt idx="24">
                <c:v>34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AAF-451A-9CB2-EF67AF4CD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4697999"/>
        <c:axId val="254693199"/>
      </c:lineChart>
      <c:catAx>
        <c:axId val="25468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676879"/>
        <c:crosses val="autoZero"/>
        <c:auto val="1"/>
        <c:lblAlgn val="ctr"/>
        <c:lblOffset val="100"/>
        <c:noMultiLvlLbl val="0"/>
      </c:catAx>
      <c:valAx>
        <c:axId val="25467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684559"/>
        <c:crosses val="autoZero"/>
        <c:crossBetween val="between"/>
      </c:valAx>
      <c:valAx>
        <c:axId val="254693199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697999"/>
        <c:crosses val="max"/>
        <c:crossBetween val="between"/>
      </c:valAx>
      <c:catAx>
        <c:axId val="2546979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54693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[NORTHWIND_EDA.xlsx]Q2!PivotTable26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10 Cities by Average Revenue per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'Q2'!$I$30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'Q2'!$H$31:$H$41</c:f>
              <c:strCache>
                <c:ptCount val="10"/>
                <c:pt idx="0">
                  <c:v>Albuquerque</c:v>
                </c:pt>
                <c:pt idx="1">
                  <c:v>Boise</c:v>
                </c:pt>
                <c:pt idx="2">
                  <c:v>BrÃ¤cke</c:v>
                </c:pt>
                <c:pt idx="3">
                  <c:v>Brandenburg</c:v>
                </c:pt>
                <c:pt idx="4">
                  <c:v>Cork</c:v>
                </c:pt>
                <c:pt idx="5">
                  <c:v>Cunewalde</c:v>
                </c:pt>
                <c:pt idx="6">
                  <c:v>Graz</c:v>
                </c:pt>
                <c:pt idx="7">
                  <c:v>LuleÃ¥</c:v>
                </c:pt>
                <c:pt idx="8">
                  <c:v>MÃ¼nchen</c:v>
                </c:pt>
                <c:pt idx="9">
                  <c:v>MontrÃ©al</c:v>
                </c:pt>
              </c:strCache>
            </c:strRef>
          </c:cat>
          <c:val>
            <c:numRef>
              <c:f>'Q2'!$I$31:$I$41</c:f>
              <c:numCache>
                <c:formatCode>General</c:formatCode>
                <c:ptCount val="10"/>
                <c:pt idx="0">
                  <c:v>49842.080000000002</c:v>
                </c:pt>
                <c:pt idx="1">
                  <c:v>85023</c:v>
                </c:pt>
                <c:pt idx="2">
                  <c:v>28757.56</c:v>
                </c:pt>
                <c:pt idx="3">
                  <c:v>28748.38</c:v>
                </c:pt>
                <c:pt idx="4">
                  <c:v>48636.959999999999</c:v>
                </c:pt>
                <c:pt idx="5">
                  <c:v>103971.06</c:v>
                </c:pt>
                <c:pt idx="6">
                  <c:v>88226.08</c:v>
                </c:pt>
                <c:pt idx="7">
                  <c:v>24927.58</c:v>
                </c:pt>
                <c:pt idx="8">
                  <c:v>23831.26</c:v>
                </c:pt>
                <c:pt idx="9">
                  <c:v>28872.19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4E-4132-8739-C063A6644FF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674657520"/>
        <c:axId val="674667600"/>
      </c:barChart>
      <c:catAx>
        <c:axId val="674657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667600"/>
        <c:crosses val="autoZero"/>
        <c:auto val="1"/>
        <c:lblAlgn val="ctr"/>
        <c:lblOffset val="100"/>
        <c:noMultiLvlLbl val="0"/>
      </c:catAx>
      <c:valAx>
        <c:axId val="674667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65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[NORTHWIND_EDA.xlsx]Q2!PivotTable27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FF0000"/>
                </a:solidFill>
              </a:rPr>
              <a:t>Country-wise Total Orders</a:t>
            </a:r>
            <a:endParaRPr lang="en-US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'Q2'!$I$68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'Q2'!$H$69:$H$90</c:f>
              <c:strCache>
                <c:ptCount val="21"/>
                <c:pt idx="0">
                  <c:v>Argentina</c:v>
                </c:pt>
                <c:pt idx="1">
                  <c:v>Austria</c:v>
                </c:pt>
                <c:pt idx="2">
                  <c:v>Belgium</c:v>
                </c:pt>
                <c:pt idx="3">
                  <c:v>Brazil</c:v>
                </c:pt>
                <c:pt idx="4">
                  <c:v>Canada</c:v>
                </c:pt>
                <c:pt idx="5">
                  <c:v>Denmark</c:v>
                </c:pt>
                <c:pt idx="6">
                  <c:v>Finland</c:v>
                </c:pt>
                <c:pt idx="7">
                  <c:v>France</c:v>
                </c:pt>
                <c:pt idx="8">
                  <c:v>Germany</c:v>
                </c:pt>
                <c:pt idx="9">
                  <c:v>Ireland</c:v>
                </c:pt>
                <c:pt idx="10">
                  <c:v>Italy</c:v>
                </c:pt>
                <c:pt idx="11">
                  <c:v>Mexico</c:v>
                </c:pt>
                <c:pt idx="12">
                  <c:v>Norway</c:v>
                </c:pt>
                <c:pt idx="13">
                  <c:v>Poland</c:v>
                </c:pt>
                <c:pt idx="14">
                  <c:v>Portugal</c:v>
                </c:pt>
                <c:pt idx="15">
                  <c:v>Spain</c:v>
                </c:pt>
                <c:pt idx="16">
                  <c:v>Sweden</c:v>
                </c:pt>
                <c:pt idx="17">
                  <c:v>Switzerland</c:v>
                </c:pt>
                <c:pt idx="18">
                  <c:v>UK</c:v>
                </c:pt>
                <c:pt idx="19">
                  <c:v>USA</c:v>
                </c:pt>
                <c:pt idx="20">
                  <c:v>Venezuela</c:v>
                </c:pt>
              </c:strCache>
            </c:strRef>
          </c:cat>
          <c:val>
            <c:numRef>
              <c:f>'Q2'!$I$69:$I$90</c:f>
              <c:numCache>
                <c:formatCode>General</c:formatCode>
                <c:ptCount val="21"/>
                <c:pt idx="0">
                  <c:v>14</c:v>
                </c:pt>
                <c:pt idx="1">
                  <c:v>36</c:v>
                </c:pt>
                <c:pt idx="2">
                  <c:v>17</c:v>
                </c:pt>
                <c:pt idx="3">
                  <c:v>77</c:v>
                </c:pt>
                <c:pt idx="4">
                  <c:v>27</c:v>
                </c:pt>
                <c:pt idx="5">
                  <c:v>17</c:v>
                </c:pt>
                <c:pt idx="6">
                  <c:v>21</c:v>
                </c:pt>
                <c:pt idx="7">
                  <c:v>74</c:v>
                </c:pt>
                <c:pt idx="8">
                  <c:v>112</c:v>
                </c:pt>
                <c:pt idx="9">
                  <c:v>18</c:v>
                </c:pt>
                <c:pt idx="10">
                  <c:v>24</c:v>
                </c:pt>
                <c:pt idx="11">
                  <c:v>26</c:v>
                </c:pt>
                <c:pt idx="12">
                  <c:v>5</c:v>
                </c:pt>
                <c:pt idx="13">
                  <c:v>6</c:v>
                </c:pt>
                <c:pt idx="14">
                  <c:v>13</c:v>
                </c:pt>
                <c:pt idx="15">
                  <c:v>20</c:v>
                </c:pt>
                <c:pt idx="16">
                  <c:v>36</c:v>
                </c:pt>
                <c:pt idx="17">
                  <c:v>14</c:v>
                </c:pt>
                <c:pt idx="18">
                  <c:v>50</c:v>
                </c:pt>
                <c:pt idx="19">
                  <c:v>112</c:v>
                </c:pt>
                <c:pt idx="20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5B-486B-B8BE-CE4DCC9B0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74701200"/>
        <c:axId val="674698800"/>
      </c:barChart>
      <c:catAx>
        <c:axId val="67470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698800"/>
        <c:crosses val="autoZero"/>
        <c:auto val="1"/>
        <c:lblAlgn val="ctr"/>
        <c:lblOffset val="100"/>
        <c:noMultiLvlLbl val="0"/>
      </c:catAx>
      <c:valAx>
        <c:axId val="67469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70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[NORTHWIND_EDA.xlsx]Q3!PivotTable28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CUSTOMER_SEGMENT VS NUMBER OF CUSTOMER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'Q3'!$J$35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'Q3'!$I$36:$I$40</c:f>
              <c:strCache>
                <c:ptCount val="4"/>
                <c:pt idx="0">
                  <c:v>Big Spender</c:v>
                </c:pt>
                <c:pt idx="1">
                  <c:v>Champion</c:v>
                </c:pt>
                <c:pt idx="2">
                  <c:v>Loyal Customer</c:v>
                </c:pt>
                <c:pt idx="3">
                  <c:v>Ocassional Customer</c:v>
                </c:pt>
              </c:strCache>
            </c:strRef>
          </c:cat>
          <c:val>
            <c:numRef>
              <c:f>'Q3'!$J$36:$J$40</c:f>
              <c:numCache>
                <c:formatCode>General</c:formatCode>
                <c:ptCount val="4"/>
                <c:pt idx="0">
                  <c:v>5</c:v>
                </c:pt>
                <c:pt idx="1">
                  <c:v>23</c:v>
                </c:pt>
                <c:pt idx="2">
                  <c:v>20</c:v>
                </c:pt>
                <c:pt idx="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2B-47E3-B6CC-F298C73C8D6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38918384"/>
        <c:axId val="1538918864"/>
      </c:barChart>
      <c:catAx>
        <c:axId val="1538918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918864"/>
        <c:crosses val="autoZero"/>
        <c:auto val="1"/>
        <c:lblAlgn val="ctr"/>
        <c:lblOffset val="100"/>
        <c:noMultiLvlLbl val="0"/>
      </c:catAx>
      <c:valAx>
        <c:axId val="15389188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91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[NORTHWIND_EDA.xlsx]Q3!PivotTable29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Preferred_Category vs Customer_Segment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alpha val="75000"/>
              </a:sysClr>
            </a:solidFill>
            <a:ln w="9525"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'Q3'!$J$64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D6C-44BD-955C-856C5623CDCC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1D6C-44BD-955C-856C5623CDCC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D6C-44BD-955C-856C5623CDCC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1D6C-44BD-955C-856C5623CDCC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D6C-44BD-955C-856C5623CDCC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1D6C-44BD-955C-856C5623CDCC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D6C-44BD-955C-856C5623CDCC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1D6C-44BD-955C-856C5623CDCC}"/>
              </c:ext>
            </c:extLst>
          </c:dPt>
          <c:dLbls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'Q3'!$I$65:$I$73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'Q3'!$J$65:$J$73</c:f>
              <c:numCache>
                <c:formatCode>General</c:formatCode>
                <c:ptCount val="8"/>
                <c:pt idx="0">
                  <c:v>18</c:v>
                </c:pt>
                <c:pt idx="1">
                  <c:v>10</c:v>
                </c:pt>
                <c:pt idx="2">
                  <c:v>13</c:v>
                </c:pt>
                <c:pt idx="3">
                  <c:v>21</c:v>
                </c:pt>
                <c:pt idx="4">
                  <c:v>3</c:v>
                </c:pt>
                <c:pt idx="5">
                  <c:v>14</c:v>
                </c:pt>
                <c:pt idx="6">
                  <c:v>4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6C-44BD-955C-856C5623CDCC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[NORTHWIND_EDA.xlsx]Q4!PivotTable7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 Revenue</a:t>
            </a:r>
          </a:p>
        </c:rich>
      </c:tx>
      <c:layout>
        <c:manualLayout>
          <c:xMode val="edge"/>
          <c:yMode val="edge"/>
          <c:x val="0.26460411198600176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'Q4'!$I$23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'Q4'!$H$24:$H$34</c:f>
              <c:strCache>
                <c:ptCount val="10"/>
                <c:pt idx="0">
                  <c:v>17</c:v>
                </c:pt>
                <c:pt idx="1">
                  <c:v>18</c:v>
                </c:pt>
                <c:pt idx="2">
                  <c:v>28</c:v>
                </c:pt>
                <c:pt idx="3">
                  <c:v>29</c:v>
                </c:pt>
                <c:pt idx="4">
                  <c:v>38</c:v>
                </c:pt>
                <c:pt idx="5">
                  <c:v>51</c:v>
                </c:pt>
                <c:pt idx="6">
                  <c:v>56</c:v>
                </c:pt>
                <c:pt idx="7">
                  <c:v>59</c:v>
                </c:pt>
                <c:pt idx="8">
                  <c:v>60</c:v>
                </c:pt>
                <c:pt idx="9">
                  <c:v>62</c:v>
                </c:pt>
              </c:strCache>
            </c:strRef>
          </c:cat>
          <c:val>
            <c:numRef>
              <c:f>'Q4'!$I$24:$I$34</c:f>
              <c:numCache>
                <c:formatCode>General</c:formatCode>
                <c:ptCount val="10"/>
                <c:pt idx="0">
                  <c:v>32698.38</c:v>
                </c:pt>
                <c:pt idx="1">
                  <c:v>29171.88</c:v>
                </c:pt>
                <c:pt idx="2">
                  <c:v>25696.639999999999</c:v>
                </c:pt>
                <c:pt idx="3">
                  <c:v>80368.67</c:v>
                </c:pt>
                <c:pt idx="4">
                  <c:v>141396.73000000001</c:v>
                </c:pt>
                <c:pt idx="5">
                  <c:v>41819.65</c:v>
                </c:pt>
                <c:pt idx="6">
                  <c:v>42593.06</c:v>
                </c:pt>
                <c:pt idx="7">
                  <c:v>71155.7</c:v>
                </c:pt>
                <c:pt idx="8">
                  <c:v>46825.48</c:v>
                </c:pt>
                <c:pt idx="9">
                  <c:v>47234.97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0B-4F05-9D8B-B0670203C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665475151"/>
        <c:axId val="1665485231"/>
      </c:barChart>
      <c:catAx>
        <c:axId val="1665475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485231"/>
        <c:crosses val="autoZero"/>
        <c:auto val="1"/>
        <c:lblAlgn val="ctr"/>
        <c:lblOffset val="100"/>
        <c:noMultiLvlLbl val="0"/>
      </c:catAx>
      <c:valAx>
        <c:axId val="16654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475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[NORTHWIND_EDA.xlsx]Q4!PivotTable8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Contribution % (Top 10)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'Q4'!$I$58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'Q4'!$H$59:$H$69</c:f>
              <c:strCache>
                <c:ptCount val="10"/>
                <c:pt idx="0">
                  <c:v>17</c:v>
                </c:pt>
                <c:pt idx="1">
                  <c:v>18</c:v>
                </c:pt>
                <c:pt idx="2">
                  <c:v>28</c:v>
                </c:pt>
                <c:pt idx="3">
                  <c:v>29</c:v>
                </c:pt>
                <c:pt idx="4">
                  <c:v>38</c:v>
                </c:pt>
                <c:pt idx="5">
                  <c:v>51</c:v>
                </c:pt>
                <c:pt idx="6">
                  <c:v>56</c:v>
                </c:pt>
                <c:pt idx="7">
                  <c:v>59</c:v>
                </c:pt>
                <c:pt idx="8">
                  <c:v>60</c:v>
                </c:pt>
                <c:pt idx="9">
                  <c:v>62</c:v>
                </c:pt>
              </c:strCache>
            </c:strRef>
          </c:cat>
          <c:val>
            <c:numRef>
              <c:f>'Q4'!$I$59:$I$69</c:f>
              <c:numCache>
                <c:formatCode>General</c:formatCode>
                <c:ptCount val="10"/>
                <c:pt idx="0">
                  <c:v>2.58</c:v>
                </c:pt>
                <c:pt idx="1">
                  <c:v>2.2999999999999998</c:v>
                </c:pt>
                <c:pt idx="2">
                  <c:v>2.0299999999999998</c:v>
                </c:pt>
                <c:pt idx="3">
                  <c:v>6.35</c:v>
                </c:pt>
                <c:pt idx="4">
                  <c:v>11.17</c:v>
                </c:pt>
                <c:pt idx="5">
                  <c:v>3.3</c:v>
                </c:pt>
                <c:pt idx="6">
                  <c:v>3.36</c:v>
                </c:pt>
                <c:pt idx="7">
                  <c:v>5.62</c:v>
                </c:pt>
                <c:pt idx="8">
                  <c:v>3.7</c:v>
                </c:pt>
                <c:pt idx="9">
                  <c:v>3.73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D8-47A9-A515-4ABADFD26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665454991"/>
        <c:axId val="1665484751"/>
      </c:barChart>
      <c:catAx>
        <c:axId val="166545499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484751"/>
        <c:crosses val="autoZero"/>
        <c:auto val="1"/>
        <c:lblAlgn val="ctr"/>
        <c:lblOffset val="100"/>
        <c:noMultiLvlLbl val="0"/>
      </c:catAx>
      <c:valAx>
        <c:axId val="166548475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454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[NORTHWIND_EDA.xlsx]Q4!PivotTable8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Contribution % (Top 10)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'Q4'!$I$58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26B-4741-88A0-FA6D653E2C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26B-4741-88A0-FA6D653E2C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26B-4741-88A0-FA6D653E2C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26B-4741-88A0-FA6D653E2C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26B-4741-88A0-FA6D653E2C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26B-4741-88A0-FA6D653E2C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26B-4741-88A0-FA6D653E2C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026B-4741-88A0-FA6D653E2C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026B-4741-88A0-FA6D653E2C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026B-4741-88A0-FA6D653E2C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'Q4'!$H$59:$H$69</c:f>
              <c:strCache>
                <c:ptCount val="10"/>
                <c:pt idx="0">
                  <c:v>17</c:v>
                </c:pt>
                <c:pt idx="1">
                  <c:v>18</c:v>
                </c:pt>
                <c:pt idx="2">
                  <c:v>28</c:v>
                </c:pt>
                <c:pt idx="3">
                  <c:v>29</c:v>
                </c:pt>
                <c:pt idx="4">
                  <c:v>38</c:v>
                </c:pt>
                <c:pt idx="5">
                  <c:v>51</c:v>
                </c:pt>
                <c:pt idx="6">
                  <c:v>56</c:v>
                </c:pt>
                <c:pt idx="7">
                  <c:v>59</c:v>
                </c:pt>
                <c:pt idx="8">
                  <c:v>60</c:v>
                </c:pt>
                <c:pt idx="9">
                  <c:v>62</c:v>
                </c:pt>
              </c:strCache>
            </c:strRef>
          </c:cat>
          <c:val>
            <c:numRef>
              <c:f>'Q4'!$I$59:$I$69</c:f>
              <c:numCache>
                <c:formatCode>General</c:formatCode>
                <c:ptCount val="10"/>
                <c:pt idx="0">
                  <c:v>2.58</c:v>
                </c:pt>
                <c:pt idx="1">
                  <c:v>2.2999999999999998</c:v>
                </c:pt>
                <c:pt idx="2">
                  <c:v>2.0299999999999998</c:v>
                </c:pt>
                <c:pt idx="3">
                  <c:v>6.35</c:v>
                </c:pt>
                <c:pt idx="4">
                  <c:v>11.17</c:v>
                </c:pt>
                <c:pt idx="5">
                  <c:v>3.3</c:v>
                </c:pt>
                <c:pt idx="6">
                  <c:v>3.36</c:v>
                </c:pt>
                <c:pt idx="7">
                  <c:v>5.62</c:v>
                </c:pt>
                <c:pt idx="8">
                  <c:v>3.7</c:v>
                </c:pt>
                <c:pt idx="9">
                  <c:v>3.73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04-45A8-BDFC-259B2BFFB15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[NORTHWIND_EDA.xlsx]Q5!PivotTable10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AVERAGE ORDERS PER SEGMENT</a:t>
            </a:r>
            <a:r>
              <a:rPr lang="en-US" b="1" i="0" u="none" strike="noStrike" baseline="0">
                <a:solidFill>
                  <a:schemeClr val="tx1">
                    <a:lumMod val="95000"/>
                    <a:lumOff val="5000"/>
                  </a:schemeClr>
                </a:solidFill>
                <a:effectLst/>
              </a:rPr>
              <a:t> </a:t>
            </a:r>
            <a:endParaRPr lang="en-US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'Q5'!$H$34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'Q5'!$G$35:$G$39</c:f>
              <c:strCache>
                <c:ptCount val="4"/>
                <c:pt idx="0">
                  <c:v>Frequent</c:v>
                </c:pt>
                <c:pt idx="1">
                  <c:v>Ocassional</c:v>
                </c:pt>
                <c:pt idx="2">
                  <c:v>Regular</c:v>
                </c:pt>
                <c:pt idx="3">
                  <c:v>Very Frequent</c:v>
                </c:pt>
              </c:strCache>
            </c:strRef>
          </c:cat>
          <c:val>
            <c:numRef>
              <c:f>'Q5'!$H$35:$H$39</c:f>
              <c:numCache>
                <c:formatCode>General</c:formatCode>
                <c:ptCount val="4"/>
                <c:pt idx="0">
                  <c:v>12.89</c:v>
                </c:pt>
                <c:pt idx="1">
                  <c:v>3.24</c:v>
                </c:pt>
                <c:pt idx="2">
                  <c:v>6.89</c:v>
                </c:pt>
                <c:pt idx="3">
                  <c:v>27.33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B8-4145-AE03-E8D695CCB96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613804383"/>
        <c:axId val="1613813023"/>
      </c:barChart>
      <c:catAx>
        <c:axId val="161380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813023"/>
        <c:crosses val="autoZero"/>
        <c:auto val="1"/>
        <c:lblAlgn val="ctr"/>
        <c:lblOffset val="100"/>
        <c:noMultiLvlLbl val="0"/>
      </c:catAx>
      <c:valAx>
        <c:axId val="16138130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1380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[NORTHWIND_EDA.xlsx]Q5!PivotTable11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>
                    <a:lumMod val="95000"/>
                    <a:lumOff val="5000"/>
                  </a:schemeClr>
                </a:solidFill>
              </a:rPr>
              <a:t>CUSTOMER % PER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'Q5'!$B$44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F35-4420-9B07-AF48D5E720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F35-4420-9B07-AF48D5E720E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F35-4420-9B07-AF48D5E720E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F35-4420-9B07-AF48D5E720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'Q5'!$A$45:$A$49</c:f>
              <c:strCache>
                <c:ptCount val="4"/>
                <c:pt idx="0">
                  <c:v>Frequent</c:v>
                </c:pt>
                <c:pt idx="1">
                  <c:v>Ocassional</c:v>
                </c:pt>
                <c:pt idx="2">
                  <c:v>Regular</c:v>
                </c:pt>
                <c:pt idx="3">
                  <c:v>Very Frequent</c:v>
                </c:pt>
              </c:strCache>
            </c:strRef>
          </c:cat>
          <c:val>
            <c:numRef>
              <c:f>'Q5'!$B$45:$B$49</c:f>
              <c:numCache>
                <c:formatCode>General</c:formatCode>
                <c:ptCount val="4"/>
                <c:pt idx="0">
                  <c:v>27</c:v>
                </c:pt>
                <c:pt idx="1">
                  <c:v>21</c:v>
                </c:pt>
                <c:pt idx="2">
                  <c:v>38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CBF-4D23-9D6B-8912FAE0242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[NORTHWIND_EDA.xlsx]Q6!PivotTable12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Title-wise Employee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'Q6'!$L$2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'Q6'!$K$3:$K$7</c:f>
              <c:strCache>
                <c:ptCount val="4"/>
                <c:pt idx="0">
                  <c:v>Inside Sales Coordinator</c:v>
                </c:pt>
                <c:pt idx="1">
                  <c:v>Sales Manager</c:v>
                </c:pt>
                <c:pt idx="2">
                  <c:v>Sales Representative</c:v>
                </c:pt>
                <c:pt idx="3">
                  <c:v>Vice President_Sales</c:v>
                </c:pt>
              </c:strCache>
            </c:strRef>
          </c:cat>
          <c:val>
            <c:numRef>
              <c:f>'Q6'!$L$3:$L$7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C4-4ABA-855C-4E94B4D9778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6389807"/>
        <c:axId val="1116390287"/>
      </c:barChart>
      <c:catAx>
        <c:axId val="1116389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390287"/>
        <c:crosses val="autoZero"/>
        <c:auto val="1"/>
        <c:lblAlgn val="ctr"/>
        <c:lblOffset val="100"/>
        <c:noMultiLvlLbl val="0"/>
      </c:catAx>
      <c:valAx>
        <c:axId val="111639028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389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[NORTHWIND_EDA.xlsx]Q6!PivotTable13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Geographic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'Q6'!$L$27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'Q6'!$K$28:$K$33</c:f>
              <c:strCache>
                <c:ptCount val="5"/>
                <c:pt idx="0">
                  <c:v>Kirkland</c:v>
                </c:pt>
                <c:pt idx="1">
                  <c:v>London</c:v>
                </c:pt>
                <c:pt idx="2">
                  <c:v>Redmond</c:v>
                </c:pt>
                <c:pt idx="3">
                  <c:v>Seattle</c:v>
                </c:pt>
                <c:pt idx="4">
                  <c:v>Tacoma</c:v>
                </c:pt>
              </c:strCache>
            </c:strRef>
          </c:cat>
          <c:val>
            <c:numRef>
              <c:f>'Q6'!$L$28:$L$33</c:f>
              <c:numCache>
                <c:formatCode>General</c:formatCode>
                <c:ptCount val="5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24-4D5C-A280-DDBDC2087DC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24464879"/>
        <c:axId val="1124466799"/>
      </c:barChart>
      <c:catAx>
        <c:axId val="112446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466799"/>
        <c:crosses val="autoZero"/>
        <c:auto val="1"/>
        <c:lblAlgn val="ctr"/>
        <c:lblOffset val="100"/>
        <c:noMultiLvlLbl val="0"/>
      </c:catAx>
      <c:valAx>
        <c:axId val="1124466799"/>
        <c:scaling>
          <c:orientation val="minMax"/>
          <c:max val="5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2446487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[NORTHWIND_EDA.xlsx]Q6!PivotTable15</c:name>
    <c:fmtId val="0"/>
  </c:pivotSource>
  <c:chart>
    <c:autoTitleDeleted val="1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'Q6'!$C$33:$C$34</c:f>
              <c:strCache>
                <c:ptCount val="1"/>
                <c:pt idx="0">
                  <c:v>Inside Sales Coordinator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'Q6'!$B$35:$B$40</c:f>
              <c:strCache>
                <c:ptCount val="5"/>
                <c:pt idx="0">
                  <c:v>Kirkland</c:v>
                </c:pt>
                <c:pt idx="1">
                  <c:v>London</c:v>
                </c:pt>
                <c:pt idx="2">
                  <c:v>Redmond</c:v>
                </c:pt>
                <c:pt idx="3">
                  <c:v>Seattle</c:v>
                </c:pt>
                <c:pt idx="4">
                  <c:v>Tacoma</c:v>
                </c:pt>
              </c:strCache>
            </c:strRef>
          </c:cat>
          <c:val>
            <c:numRef>
              <c:f>'Q6'!$C$35:$C$40</c:f>
              <c:numCache>
                <c:formatCode>General</c:formatCode>
                <c:ptCount val="5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60-46C6-897F-683ACE4FFD59}"/>
            </c:ext>
          </c:extLst>
        </c:ser>
        <c:ser>
          <c:idx val="1"/>
          <c:order val="1"/>
          <c:tx>
            <c:strRef>
              <c:f>'Q6'!$D$33:$D$34</c:f>
              <c:strCache>
                <c:ptCount val="1"/>
                <c:pt idx="0">
                  <c:v>Sales Manager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'Q6'!$B$35:$B$40</c:f>
              <c:strCache>
                <c:ptCount val="5"/>
                <c:pt idx="0">
                  <c:v>Kirkland</c:v>
                </c:pt>
                <c:pt idx="1">
                  <c:v>London</c:v>
                </c:pt>
                <c:pt idx="2">
                  <c:v>Redmond</c:v>
                </c:pt>
                <c:pt idx="3">
                  <c:v>Seattle</c:v>
                </c:pt>
                <c:pt idx="4">
                  <c:v>Tacoma</c:v>
                </c:pt>
              </c:strCache>
            </c:strRef>
          </c:cat>
          <c:val>
            <c:numRef>
              <c:f>'Q6'!$D$35:$D$40</c:f>
              <c:numCache>
                <c:formatCode>General</c:formatCode>
                <c:ptCount val="5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60-46C6-897F-683ACE4FFD59}"/>
            </c:ext>
          </c:extLst>
        </c:ser>
        <c:ser>
          <c:idx val="2"/>
          <c:order val="2"/>
          <c:tx>
            <c:strRef>
              <c:f>'Q6'!$E$33:$E$34</c:f>
              <c:strCache>
                <c:ptCount val="1"/>
                <c:pt idx="0">
                  <c:v>Sales Representative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'Q6'!$B$35:$B$40</c:f>
              <c:strCache>
                <c:ptCount val="5"/>
                <c:pt idx="0">
                  <c:v>Kirkland</c:v>
                </c:pt>
                <c:pt idx="1">
                  <c:v>London</c:v>
                </c:pt>
                <c:pt idx="2">
                  <c:v>Redmond</c:v>
                </c:pt>
                <c:pt idx="3">
                  <c:v>Seattle</c:v>
                </c:pt>
                <c:pt idx="4">
                  <c:v>Tacoma</c:v>
                </c:pt>
              </c:strCache>
            </c:strRef>
          </c:cat>
          <c:val>
            <c:numRef>
              <c:f>'Q6'!$E$35:$E$40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60-46C6-897F-683ACE4FFD59}"/>
            </c:ext>
          </c:extLst>
        </c:ser>
        <c:ser>
          <c:idx val="3"/>
          <c:order val="3"/>
          <c:tx>
            <c:strRef>
              <c:f>'Q6'!$F$33:$F$34</c:f>
              <c:strCache>
                <c:ptCount val="1"/>
                <c:pt idx="0">
                  <c:v>Vice President_Sales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'Q6'!$B$35:$B$40</c:f>
              <c:strCache>
                <c:ptCount val="5"/>
                <c:pt idx="0">
                  <c:v>Kirkland</c:v>
                </c:pt>
                <c:pt idx="1">
                  <c:v>London</c:v>
                </c:pt>
                <c:pt idx="2">
                  <c:v>Redmond</c:v>
                </c:pt>
                <c:pt idx="3">
                  <c:v>Seattle</c:v>
                </c:pt>
                <c:pt idx="4">
                  <c:v>Tacoma</c:v>
                </c:pt>
              </c:strCache>
            </c:strRef>
          </c:cat>
          <c:val>
            <c:numRef>
              <c:f>'Q6'!$F$35:$F$40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60-46C6-897F-683ACE4FFD5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86521903"/>
        <c:axId val="886519983"/>
      </c:barChart>
      <c:catAx>
        <c:axId val="886521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519983"/>
        <c:crosses val="autoZero"/>
        <c:auto val="1"/>
        <c:lblAlgn val="ctr"/>
        <c:lblOffset val="100"/>
        <c:noMultiLvlLbl val="0"/>
      </c:catAx>
      <c:valAx>
        <c:axId val="886519983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86521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[NORTHWIND_EDA.xlsx]Q7!PivotTable16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YEAR WISE EMPLOYEE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'Q7'!$H$21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'Q7'!$G$22:$G$25</c:f>
              <c:strCache>
                <c:ptCount val="3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</c:strCache>
            </c:strRef>
          </c:cat>
          <c:val>
            <c:numRef>
              <c:f>'Q7'!$H$22:$H$25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8E-4730-8846-2B5C33773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1783824"/>
        <c:axId val="161784784"/>
      </c:barChart>
      <c:catAx>
        <c:axId val="16178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84784"/>
        <c:crosses val="autoZero"/>
        <c:auto val="1"/>
        <c:lblAlgn val="ctr"/>
        <c:lblOffset val="100"/>
        <c:noMultiLvlLbl val="0"/>
      </c:catAx>
      <c:valAx>
        <c:axId val="16178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8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[NORTHWIND_EDA.xlsx]Q7!PivotTable17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Title-wise Hire Date Analysis</a:t>
            </a:r>
          </a:p>
        </c:rich>
      </c:tx>
      <c:layout>
        <c:manualLayout>
          <c:xMode val="edge"/>
          <c:yMode val="edge"/>
          <c:x val="0.25184401226246483"/>
          <c:y val="0.105460779138292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'Q7'!$C$34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'Q7'!$B$35:$B$39</c:f>
              <c:strCache>
                <c:ptCount val="4"/>
                <c:pt idx="0">
                  <c:v>Inside Sales Coordinator</c:v>
                </c:pt>
                <c:pt idx="1">
                  <c:v>Sales Manager</c:v>
                </c:pt>
                <c:pt idx="2">
                  <c:v>Sales Representative</c:v>
                </c:pt>
                <c:pt idx="3">
                  <c:v>Vice President_Sales</c:v>
                </c:pt>
              </c:strCache>
            </c:strRef>
          </c:cat>
          <c:val>
            <c:numRef>
              <c:f>'Q7'!$C$35:$C$39</c:f>
              <c:numCache>
                <c:formatCode>General</c:formatCode>
                <c:ptCount val="4"/>
                <c:pt idx="0">
                  <c:v>1994</c:v>
                </c:pt>
                <c:pt idx="1">
                  <c:v>1993</c:v>
                </c:pt>
                <c:pt idx="2">
                  <c:v>1993</c:v>
                </c:pt>
                <c:pt idx="3">
                  <c:v>1992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ED-4D27-90F8-664B274EF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124467759"/>
        <c:axId val="1124464399"/>
      </c:barChart>
      <c:catAx>
        <c:axId val="1124467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464399"/>
        <c:crosses val="autoZero"/>
        <c:auto val="1"/>
        <c:lblAlgn val="ctr"/>
        <c:lblOffset val="100"/>
        <c:noMultiLvlLbl val="0"/>
      </c:catAx>
      <c:valAx>
        <c:axId val="1124464399"/>
        <c:scaling>
          <c:orientation val="minMax"/>
          <c:max val="1994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46775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[NORTHWIND_EDA.xlsx]Q8!PivotTable1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Title-Wise Employee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'Q8'!$K$21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AF3-4CE6-BF56-4F02AB53BD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AF3-4CE6-BF56-4F02AB53BD8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AF3-4CE6-BF56-4F02AB53BD8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AF3-4CE6-BF56-4F02AB53BD8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'Q8'!$J$22:$J$26</c:f>
              <c:strCache>
                <c:ptCount val="4"/>
                <c:pt idx="0">
                  <c:v>Inside Sales Coordinator</c:v>
                </c:pt>
                <c:pt idx="1">
                  <c:v>Sales Manager</c:v>
                </c:pt>
                <c:pt idx="2">
                  <c:v>Sales Representative</c:v>
                </c:pt>
                <c:pt idx="3">
                  <c:v>Vice President_Sales</c:v>
                </c:pt>
              </c:strCache>
            </c:strRef>
          </c:cat>
          <c:val>
            <c:numRef>
              <c:f>'Q8'!$K$22:$K$26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C5-4D14-8760-D85A175EE22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Product Pricing vs Sales Revenue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'Q9'!$D$28</c:f>
              <c:strCache>
                <c:ptCount val="1"/>
                <c:pt idx="0">
                  <c:v>unitsinstock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multiLvlStrRef>
              <c:f>'Q9'!$A$29:$C$105</c:f>
              <c:multiLvlStrCache>
                <c:ptCount val="77"/>
                <c:lvl>
                  <c:pt idx="0">
                    <c:v>263.5</c:v>
                  </c:pt>
                  <c:pt idx="1">
                    <c:v>123.79</c:v>
                  </c:pt>
                  <c:pt idx="2">
                    <c:v>55</c:v>
                  </c:pt>
                  <c:pt idx="3">
                    <c:v>49.3</c:v>
                  </c:pt>
                  <c:pt idx="4">
                    <c:v>34</c:v>
                  </c:pt>
                  <c:pt idx="5">
                    <c:v>38</c:v>
                  </c:pt>
                  <c:pt idx="6">
                    <c:v>53</c:v>
                  </c:pt>
                  <c:pt idx="7">
                    <c:v>39</c:v>
                  </c:pt>
                  <c:pt idx="8">
                    <c:v>62.5</c:v>
                  </c:pt>
                  <c:pt idx="9">
                    <c:v>45.6</c:v>
                  </c:pt>
                  <c:pt idx="10">
                    <c:v>34.8</c:v>
                  </c:pt>
                  <c:pt idx="11">
                    <c:v>46</c:v>
                  </c:pt>
                  <c:pt idx="12">
                    <c:v>81</c:v>
                  </c:pt>
                  <c:pt idx="13">
                    <c:v>30</c:v>
                  </c:pt>
                  <c:pt idx="14">
                    <c:v>33.25</c:v>
                  </c:pt>
                  <c:pt idx="15">
                    <c:v>36</c:v>
                  </c:pt>
                  <c:pt idx="16">
                    <c:v>31</c:v>
                  </c:pt>
                  <c:pt idx="17">
                    <c:v>32.8</c:v>
                  </c:pt>
                  <c:pt idx="18">
                    <c:v>31.23</c:v>
                  </c:pt>
                  <c:pt idx="19">
                    <c:v>21.5</c:v>
                  </c:pt>
                  <c:pt idx="20">
                    <c:v>18.4</c:v>
                  </c:pt>
                  <c:pt idx="21">
                    <c:v>24</c:v>
                  </c:pt>
                  <c:pt idx="22">
                    <c:v>17.45</c:v>
                  </c:pt>
                  <c:pt idx="23">
                    <c:v>43.9</c:v>
                  </c:pt>
                  <c:pt idx="24">
                    <c:v>19</c:v>
                  </c:pt>
                  <c:pt idx="25">
                    <c:v>18</c:v>
                  </c:pt>
                  <c:pt idx="26">
                    <c:v>43.9</c:v>
                  </c:pt>
                  <c:pt idx="27">
                    <c:v>12.5</c:v>
                  </c:pt>
                  <c:pt idx="28">
                    <c:v>28.5</c:v>
                  </c:pt>
                  <c:pt idx="29">
                    <c:v>21.05</c:v>
                  </c:pt>
                  <c:pt idx="30">
                    <c:v>18</c:v>
                  </c:pt>
                  <c:pt idx="31">
                    <c:v>19</c:v>
                  </c:pt>
                  <c:pt idx="32">
                    <c:v>25.89</c:v>
                  </c:pt>
                  <c:pt idx="33">
                    <c:v>21</c:v>
                  </c:pt>
                  <c:pt idx="34">
                    <c:v>18</c:v>
                  </c:pt>
                  <c:pt idx="35">
                    <c:v>40</c:v>
                  </c:pt>
                  <c:pt idx="36">
                    <c:v>18</c:v>
                  </c:pt>
                  <c:pt idx="37">
                    <c:v>38</c:v>
                  </c:pt>
                  <c:pt idx="38">
                    <c:v>15</c:v>
                  </c:pt>
                  <c:pt idx="39">
                    <c:v>19.45</c:v>
                  </c:pt>
                  <c:pt idx="40">
                    <c:v>20</c:v>
                  </c:pt>
                  <c:pt idx="41">
                    <c:v>13</c:v>
                  </c:pt>
                  <c:pt idx="42">
                    <c:v>10</c:v>
                  </c:pt>
                  <c:pt idx="43">
                    <c:v>12.5</c:v>
                  </c:pt>
                  <c:pt idx="44">
                    <c:v>9.65</c:v>
                  </c:pt>
                  <c:pt idx="45">
                    <c:v>14</c:v>
                  </c:pt>
                  <c:pt idx="46">
                    <c:v>22</c:v>
                  </c:pt>
                  <c:pt idx="47">
                    <c:v>32</c:v>
                  </c:pt>
                  <c:pt idx="48">
                    <c:v>7.75</c:v>
                  </c:pt>
                  <c:pt idx="49">
                    <c:v>23.25</c:v>
                  </c:pt>
                  <c:pt idx="50">
                    <c:v>19.5</c:v>
                  </c:pt>
                  <c:pt idx="51">
                    <c:v>97</c:v>
                  </c:pt>
                  <c:pt idx="52">
                    <c:v>25</c:v>
                  </c:pt>
                  <c:pt idx="53">
                    <c:v>21</c:v>
                  </c:pt>
                  <c:pt idx="54">
                    <c:v>14</c:v>
                  </c:pt>
                  <c:pt idx="55">
                    <c:v>12</c:v>
                  </c:pt>
                  <c:pt idx="56">
                    <c:v>13.25</c:v>
                  </c:pt>
                  <c:pt idx="57">
                    <c:v>9.2</c:v>
                  </c:pt>
                  <c:pt idx="58">
                    <c:v>21.35</c:v>
                  </c:pt>
                  <c:pt idx="59">
                    <c:v>6</c:v>
                  </c:pt>
                  <c:pt idx="60">
                    <c:v>7.45</c:v>
                  </c:pt>
                  <c:pt idx="61">
                    <c:v>9</c:v>
                  </c:pt>
                  <c:pt idx="62">
                    <c:v>4.5</c:v>
                  </c:pt>
                  <c:pt idx="63">
                    <c:v>9.5</c:v>
                  </c:pt>
                  <c:pt idx="64">
                    <c:v>15</c:v>
                  </c:pt>
                  <c:pt idx="65">
                    <c:v>9.5</c:v>
                  </c:pt>
                  <c:pt idx="66">
                    <c:v>14</c:v>
                  </c:pt>
                  <c:pt idx="67">
                    <c:v>16.25</c:v>
                  </c:pt>
                  <c:pt idx="68">
                    <c:v>17</c:v>
                  </c:pt>
                  <c:pt idx="69">
                    <c:v>7</c:v>
                  </c:pt>
                  <c:pt idx="70">
                    <c:v>10</c:v>
                  </c:pt>
                  <c:pt idx="71">
                    <c:v>26</c:v>
                  </c:pt>
                  <c:pt idx="72">
                    <c:v>10</c:v>
                  </c:pt>
                  <c:pt idx="73">
                    <c:v>14</c:v>
                  </c:pt>
                  <c:pt idx="74">
                    <c:v>15.5</c:v>
                  </c:pt>
                  <c:pt idx="75">
                    <c:v>2.5</c:v>
                  </c:pt>
                  <c:pt idx="76">
                    <c:v>12.75</c:v>
                  </c:pt>
                </c:lvl>
                <c:lvl>
                  <c:pt idx="0">
                    <c:v>Côte de Blaye</c:v>
                  </c:pt>
                  <c:pt idx="1">
                    <c:v>Thüringer Rostbratwurst</c:v>
                  </c:pt>
                  <c:pt idx="2">
                    <c:v>Raclette Courdavault</c:v>
                  </c:pt>
                  <c:pt idx="3">
                    <c:v>Tarte au sucre</c:v>
                  </c:pt>
                  <c:pt idx="4">
                    <c:v>Camembert Pierrot</c:v>
                  </c:pt>
                  <c:pt idx="5">
                    <c:v>Gnocchi di nonna Alice</c:v>
                  </c:pt>
                  <c:pt idx="6">
                    <c:v>Manjimup Dried Apples</c:v>
                  </c:pt>
                  <c:pt idx="7">
                    <c:v>Alice Mutton</c:v>
                  </c:pt>
                  <c:pt idx="8">
                    <c:v>Carnarvon Tigers</c:v>
                  </c:pt>
                  <c:pt idx="9">
                    <c:v>Rössle Sauerkraut</c:v>
                  </c:pt>
                  <c:pt idx="10">
                    <c:v>Mozzarella di Giovanni</c:v>
                  </c:pt>
                  <c:pt idx="11">
                    <c:v>Ipoh Coffee</c:v>
                  </c:pt>
                  <c:pt idx="12">
                    <c:v>Sir Rodney's Marmalade</c:v>
                  </c:pt>
                  <c:pt idx="13">
                    <c:v>Uncle Bob's Organic Dried Pears</c:v>
                  </c:pt>
                  <c:pt idx="14">
                    <c:v>Wimmers gute Semmelknödel</c:v>
                  </c:pt>
                  <c:pt idx="15">
                    <c:v>Gudbrandsdalsost</c:v>
                  </c:pt>
                  <c:pt idx="16">
                    <c:v>Ikura</c:v>
                  </c:pt>
                  <c:pt idx="17">
                    <c:v>Perth Pasties</c:v>
                  </c:pt>
                  <c:pt idx="18">
                    <c:v>Gumbär Gummibärchen</c:v>
                  </c:pt>
                  <c:pt idx="19">
                    <c:v>Fløtemysost</c:v>
                  </c:pt>
                  <c:pt idx="20">
                    <c:v>Boston Crab Meat</c:v>
                  </c:pt>
                  <c:pt idx="21">
                    <c:v>Pâté chinois</c:v>
                  </c:pt>
                  <c:pt idx="22">
                    <c:v>Pavlova</c:v>
                  </c:pt>
                  <c:pt idx="23">
                    <c:v>Vegie-spread</c:v>
                  </c:pt>
                  <c:pt idx="24">
                    <c:v>Chang</c:v>
                  </c:pt>
                  <c:pt idx="25">
                    <c:v>Lakkalikööri</c:v>
                  </c:pt>
                  <c:pt idx="26">
                    <c:v>Schoggi Schokolade</c:v>
                  </c:pt>
                  <c:pt idx="27">
                    <c:v>Gorgonzola Telino</c:v>
                  </c:pt>
                  <c:pt idx="28">
                    <c:v>Sirop d'érable</c:v>
                  </c:pt>
                  <c:pt idx="29">
                    <c:v>Louisiana Fiery Hot Pepper Sauce</c:v>
                  </c:pt>
                  <c:pt idx="30">
                    <c:v>Steeleye Stout</c:v>
                  </c:pt>
                  <c:pt idx="31">
                    <c:v>Inlagd Sill</c:v>
                  </c:pt>
                  <c:pt idx="32">
                    <c:v>Nord-Ost Matjeshering</c:v>
                  </c:pt>
                  <c:pt idx="33">
                    <c:v>Queso Cabrales</c:v>
                  </c:pt>
                  <c:pt idx="34">
                    <c:v>Chai</c:v>
                  </c:pt>
                  <c:pt idx="35">
                    <c:v>Northwoods Cranberry Sauce</c:v>
                  </c:pt>
                  <c:pt idx="36">
                    <c:v>Chartreuse verte</c:v>
                  </c:pt>
                  <c:pt idx="37">
                    <c:v>Queso Manchego La Pastora</c:v>
                  </c:pt>
                  <c:pt idx="38">
                    <c:v>Outback Lager</c:v>
                  </c:pt>
                  <c:pt idx="39">
                    <c:v>Gula Malacca</c:v>
                  </c:pt>
                  <c:pt idx="40">
                    <c:v>Maxilaku</c:v>
                  </c:pt>
                  <c:pt idx="41">
                    <c:v>Original Frankfurter grüne Soße</c:v>
                  </c:pt>
                  <c:pt idx="42">
                    <c:v>Sir Rodney's Scones</c:v>
                  </c:pt>
                  <c:pt idx="43">
                    <c:v>Scottish Longbreads</c:v>
                  </c:pt>
                  <c:pt idx="44">
                    <c:v>Jack's New England Clam Chowder</c:v>
                  </c:pt>
                  <c:pt idx="45">
                    <c:v>Singaporean Hokkien Fried Mee</c:v>
                  </c:pt>
                  <c:pt idx="46">
                    <c:v>Chef Anton's Cajun Seasoning</c:v>
                  </c:pt>
                  <c:pt idx="47">
                    <c:v>Mascarpone Fabioli</c:v>
                  </c:pt>
                  <c:pt idx="48">
                    <c:v>Rhönbräu Klosterbier</c:v>
                  </c:pt>
                  <c:pt idx="49">
                    <c:v>Tofu</c:v>
                  </c:pt>
                  <c:pt idx="50">
                    <c:v>Ravioli Angelo</c:v>
                  </c:pt>
                  <c:pt idx="51">
                    <c:v>Mishi Kobe Niku</c:v>
                  </c:pt>
                  <c:pt idx="52">
                    <c:v>Grandma's Boysenberry Spread</c:v>
                  </c:pt>
                  <c:pt idx="53">
                    <c:v>Gustaf's Knäckebröd</c:v>
                  </c:pt>
                  <c:pt idx="54">
                    <c:v>Sasquatch Ale</c:v>
                  </c:pt>
                  <c:pt idx="55">
                    <c:v>Spegesild</c:v>
                  </c:pt>
                  <c:pt idx="56">
                    <c:v>Escargots de Bourgogne</c:v>
                  </c:pt>
                  <c:pt idx="57">
                    <c:v>Teatime Chocolate Biscuits</c:v>
                  </c:pt>
                  <c:pt idx="58">
                    <c:v>Chef Anton's Gumbo Mix</c:v>
                  </c:pt>
                  <c:pt idx="59">
                    <c:v>Konbu</c:v>
                  </c:pt>
                  <c:pt idx="60">
                    <c:v>Tourtière</c:v>
                  </c:pt>
                  <c:pt idx="61">
                    <c:v>Tunnbröd</c:v>
                  </c:pt>
                  <c:pt idx="62">
                    <c:v>Guaraná Fantástica</c:v>
                  </c:pt>
                  <c:pt idx="63">
                    <c:v>Røgede sild</c:v>
                  </c:pt>
                  <c:pt idx="64">
                    <c:v>Röd Kaviar</c:v>
                  </c:pt>
                  <c:pt idx="65">
                    <c:v>Zaanse koeken</c:v>
                  </c:pt>
                  <c:pt idx="66">
                    <c:v>NuNuCa Nuß-Nougat-Creme</c:v>
                  </c:pt>
                  <c:pt idx="67">
                    <c:v>Valkoinen suklaa</c:v>
                  </c:pt>
                  <c:pt idx="68">
                    <c:v>Louisiana Hot Spiced Okra</c:v>
                  </c:pt>
                  <c:pt idx="69">
                    <c:v>Filo Mix</c:v>
                  </c:pt>
                  <c:pt idx="70">
                    <c:v>Aniseed Syrup</c:v>
                  </c:pt>
                  <c:pt idx="71">
                    <c:v>Gravad lax</c:v>
                  </c:pt>
                  <c:pt idx="72">
                    <c:v>Longlife Tofu</c:v>
                  </c:pt>
                  <c:pt idx="73">
                    <c:v>Laughing Lumberjack Lager</c:v>
                  </c:pt>
                  <c:pt idx="74">
                    <c:v>Genen Shouyu</c:v>
                  </c:pt>
                  <c:pt idx="75">
                    <c:v>Geitost</c:v>
                  </c:pt>
                  <c:pt idx="76">
                    <c:v>Chocolade</c:v>
                  </c:pt>
                </c:lvl>
                <c:lvl>
                  <c:pt idx="0">
                    <c:v>38</c:v>
                  </c:pt>
                  <c:pt idx="1">
                    <c:v>29</c:v>
                  </c:pt>
                  <c:pt idx="2">
                    <c:v>59</c:v>
                  </c:pt>
                  <c:pt idx="3">
                    <c:v>62</c:v>
                  </c:pt>
                  <c:pt idx="4">
                    <c:v>60</c:v>
                  </c:pt>
                  <c:pt idx="5">
                    <c:v>56</c:v>
                  </c:pt>
                  <c:pt idx="6">
                    <c:v>51</c:v>
                  </c:pt>
                  <c:pt idx="7">
                    <c:v>17</c:v>
                  </c:pt>
                  <c:pt idx="8">
                    <c:v>18</c:v>
                  </c:pt>
                  <c:pt idx="9">
                    <c:v>28</c:v>
                  </c:pt>
                  <c:pt idx="10">
                    <c:v>72</c:v>
                  </c:pt>
                  <c:pt idx="11">
                    <c:v>43</c:v>
                  </c:pt>
                  <c:pt idx="12">
                    <c:v>20</c:v>
                  </c:pt>
                  <c:pt idx="13">
                    <c:v>7</c:v>
                  </c:pt>
                  <c:pt idx="14">
                    <c:v>64</c:v>
                  </c:pt>
                  <c:pt idx="15">
                    <c:v>69</c:v>
                  </c:pt>
                  <c:pt idx="16">
                    <c:v>10</c:v>
                  </c:pt>
                  <c:pt idx="17">
                    <c:v>53</c:v>
                  </c:pt>
                  <c:pt idx="18">
                    <c:v>26</c:v>
                  </c:pt>
                  <c:pt idx="19">
                    <c:v>71</c:v>
                  </c:pt>
                  <c:pt idx="20">
                    <c:v>40</c:v>
                  </c:pt>
                  <c:pt idx="21">
                    <c:v>55</c:v>
                  </c:pt>
                  <c:pt idx="22">
                    <c:v>16</c:v>
                  </c:pt>
                  <c:pt idx="23">
                    <c:v>63</c:v>
                  </c:pt>
                  <c:pt idx="24">
                    <c:v>2</c:v>
                  </c:pt>
                  <c:pt idx="25">
                    <c:v>76</c:v>
                  </c:pt>
                  <c:pt idx="26">
                    <c:v>27</c:v>
                  </c:pt>
                  <c:pt idx="27">
                    <c:v>31</c:v>
                  </c:pt>
                  <c:pt idx="28">
                    <c:v>61</c:v>
                  </c:pt>
                  <c:pt idx="29">
                    <c:v>65</c:v>
                  </c:pt>
                  <c:pt idx="30">
                    <c:v>35</c:v>
                  </c:pt>
                  <c:pt idx="31">
                    <c:v>36</c:v>
                  </c:pt>
                  <c:pt idx="32">
                    <c:v>30</c:v>
                  </c:pt>
                  <c:pt idx="33">
                    <c:v>11</c:v>
                  </c:pt>
                  <c:pt idx="34">
                    <c:v>1</c:v>
                  </c:pt>
                  <c:pt idx="35">
                    <c:v>8</c:v>
                  </c:pt>
                  <c:pt idx="36">
                    <c:v>39</c:v>
                  </c:pt>
                  <c:pt idx="37">
                    <c:v>12</c:v>
                  </c:pt>
                  <c:pt idx="38">
                    <c:v>70</c:v>
                  </c:pt>
                  <c:pt idx="39">
                    <c:v>44</c:v>
                  </c:pt>
                  <c:pt idx="40">
                    <c:v>49</c:v>
                  </c:pt>
                  <c:pt idx="41">
                    <c:v>77</c:v>
                  </c:pt>
                  <c:pt idx="42">
                    <c:v>21</c:v>
                  </c:pt>
                  <c:pt idx="43">
                    <c:v>68</c:v>
                  </c:pt>
                  <c:pt idx="44">
                    <c:v>41</c:v>
                  </c:pt>
                  <c:pt idx="45">
                    <c:v>42</c:v>
                  </c:pt>
                  <c:pt idx="46">
                    <c:v>4</c:v>
                  </c:pt>
                  <c:pt idx="47">
                    <c:v>32</c:v>
                  </c:pt>
                  <c:pt idx="48">
                    <c:v>75</c:v>
                  </c:pt>
                  <c:pt idx="49">
                    <c:v>14</c:v>
                  </c:pt>
                  <c:pt idx="50">
                    <c:v>57</c:v>
                  </c:pt>
                  <c:pt idx="51">
                    <c:v>9</c:v>
                  </c:pt>
                  <c:pt idx="52">
                    <c:v>6</c:v>
                  </c:pt>
                  <c:pt idx="53">
                    <c:v>22</c:v>
                  </c:pt>
                  <c:pt idx="54">
                    <c:v>34</c:v>
                  </c:pt>
                  <c:pt idx="55">
                    <c:v>46</c:v>
                  </c:pt>
                  <c:pt idx="56">
                    <c:v>58</c:v>
                  </c:pt>
                  <c:pt idx="57">
                    <c:v>19</c:v>
                  </c:pt>
                  <c:pt idx="58">
                    <c:v>5</c:v>
                  </c:pt>
                  <c:pt idx="59">
                    <c:v>13</c:v>
                  </c:pt>
                  <c:pt idx="60">
                    <c:v>54</c:v>
                  </c:pt>
                  <c:pt idx="61">
                    <c:v>23</c:v>
                  </c:pt>
                  <c:pt idx="62">
                    <c:v>24</c:v>
                  </c:pt>
                  <c:pt idx="63">
                    <c:v>45</c:v>
                  </c:pt>
                  <c:pt idx="64">
                    <c:v>73</c:v>
                  </c:pt>
                  <c:pt idx="65">
                    <c:v>47</c:v>
                  </c:pt>
                  <c:pt idx="66">
                    <c:v>25</c:v>
                  </c:pt>
                  <c:pt idx="67">
                    <c:v>50</c:v>
                  </c:pt>
                  <c:pt idx="68">
                    <c:v>66</c:v>
                  </c:pt>
                  <c:pt idx="69">
                    <c:v>52</c:v>
                  </c:pt>
                  <c:pt idx="70">
                    <c:v>3</c:v>
                  </c:pt>
                  <c:pt idx="71">
                    <c:v>37</c:v>
                  </c:pt>
                  <c:pt idx="72">
                    <c:v>74</c:v>
                  </c:pt>
                  <c:pt idx="73">
                    <c:v>67</c:v>
                  </c:pt>
                  <c:pt idx="74">
                    <c:v>15</c:v>
                  </c:pt>
                  <c:pt idx="75">
                    <c:v>33</c:v>
                  </c:pt>
                  <c:pt idx="76">
                    <c:v>48</c:v>
                  </c:pt>
                </c:lvl>
              </c:multiLvlStrCache>
            </c:multiLvlStrRef>
          </c:xVal>
          <c:yVal>
            <c:numRef>
              <c:f>'Q9'!$D$29:$D$105</c:f>
              <c:numCache>
                <c:formatCode>General</c:formatCode>
                <c:ptCount val="77"/>
                <c:pt idx="0">
                  <c:v>17</c:v>
                </c:pt>
                <c:pt idx="1">
                  <c:v>0</c:v>
                </c:pt>
                <c:pt idx="2">
                  <c:v>79</c:v>
                </c:pt>
                <c:pt idx="3">
                  <c:v>17</c:v>
                </c:pt>
                <c:pt idx="4">
                  <c:v>19</c:v>
                </c:pt>
                <c:pt idx="5">
                  <c:v>21</c:v>
                </c:pt>
                <c:pt idx="6">
                  <c:v>20</c:v>
                </c:pt>
                <c:pt idx="7">
                  <c:v>0</c:v>
                </c:pt>
                <c:pt idx="8">
                  <c:v>42</c:v>
                </c:pt>
                <c:pt idx="9">
                  <c:v>26</c:v>
                </c:pt>
                <c:pt idx="10">
                  <c:v>14</c:v>
                </c:pt>
                <c:pt idx="11">
                  <c:v>17</c:v>
                </c:pt>
                <c:pt idx="12">
                  <c:v>40</c:v>
                </c:pt>
                <c:pt idx="13">
                  <c:v>15</c:v>
                </c:pt>
                <c:pt idx="14">
                  <c:v>22</c:v>
                </c:pt>
                <c:pt idx="15">
                  <c:v>26</c:v>
                </c:pt>
                <c:pt idx="16">
                  <c:v>31</c:v>
                </c:pt>
                <c:pt idx="17">
                  <c:v>0</c:v>
                </c:pt>
                <c:pt idx="18">
                  <c:v>15</c:v>
                </c:pt>
                <c:pt idx="19">
                  <c:v>26</c:v>
                </c:pt>
                <c:pt idx="20">
                  <c:v>123</c:v>
                </c:pt>
                <c:pt idx="21">
                  <c:v>115</c:v>
                </c:pt>
                <c:pt idx="22">
                  <c:v>29</c:v>
                </c:pt>
                <c:pt idx="23">
                  <c:v>24</c:v>
                </c:pt>
                <c:pt idx="24">
                  <c:v>17</c:v>
                </c:pt>
                <c:pt idx="25">
                  <c:v>57</c:v>
                </c:pt>
                <c:pt idx="26">
                  <c:v>49</c:v>
                </c:pt>
                <c:pt idx="27">
                  <c:v>0</c:v>
                </c:pt>
                <c:pt idx="28">
                  <c:v>113</c:v>
                </c:pt>
                <c:pt idx="29">
                  <c:v>76</c:v>
                </c:pt>
                <c:pt idx="30">
                  <c:v>20</c:v>
                </c:pt>
                <c:pt idx="31">
                  <c:v>112</c:v>
                </c:pt>
                <c:pt idx="32">
                  <c:v>10</c:v>
                </c:pt>
                <c:pt idx="33">
                  <c:v>22</c:v>
                </c:pt>
                <c:pt idx="34">
                  <c:v>39</c:v>
                </c:pt>
                <c:pt idx="35">
                  <c:v>6</c:v>
                </c:pt>
                <c:pt idx="36">
                  <c:v>69</c:v>
                </c:pt>
                <c:pt idx="37">
                  <c:v>86</c:v>
                </c:pt>
                <c:pt idx="38">
                  <c:v>15</c:v>
                </c:pt>
                <c:pt idx="39">
                  <c:v>27</c:v>
                </c:pt>
                <c:pt idx="40">
                  <c:v>10</c:v>
                </c:pt>
                <c:pt idx="41">
                  <c:v>32</c:v>
                </c:pt>
                <c:pt idx="42">
                  <c:v>3</c:v>
                </c:pt>
                <c:pt idx="43">
                  <c:v>6</c:v>
                </c:pt>
                <c:pt idx="44">
                  <c:v>85</c:v>
                </c:pt>
                <c:pt idx="45">
                  <c:v>26</c:v>
                </c:pt>
                <c:pt idx="46">
                  <c:v>53</c:v>
                </c:pt>
                <c:pt idx="47">
                  <c:v>9</c:v>
                </c:pt>
                <c:pt idx="48">
                  <c:v>125</c:v>
                </c:pt>
                <c:pt idx="49">
                  <c:v>35</c:v>
                </c:pt>
                <c:pt idx="50">
                  <c:v>36</c:v>
                </c:pt>
                <c:pt idx="51">
                  <c:v>29</c:v>
                </c:pt>
                <c:pt idx="52">
                  <c:v>120</c:v>
                </c:pt>
                <c:pt idx="53">
                  <c:v>104</c:v>
                </c:pt>
                <c:pt idx="54">
                  <c:v>111</c:v>
                </c:pt>
                <c:pt idx="55">
                  <c:v>95</c:v>
                </c:pt>
                <c:pt idx="56">
                  <c:v>62</c:v>
                </c:pt>
                <c:pt idx="57">
                  <c:v>25</c:v>
                </c:pt>
                <c:pt idx="58">
                  <c:v>0</c:v>
                </c:pt>
                <c:pt idx="59">
                  <c:v>24</c:v>
                </c:pt>
                <c:pt idx="60">
                  <c:v>21</c:v>
                </c:pt>
                <c:pt idx="61">
                  <c:v>61</c:v>
                </c:pt>
                <c:pt idx="62">
                  <c:v>20</c:v>
                </c:pt>
                <c:pt idx="63">
                  <c:v>5</c:v>
                </c:pt>
                <c:pt idx="64">
                  <c:v>101</c:v>
                </c:pt>
                <c:pt idx="65">
                  <c:v>36</c:v>
                </c:pt>
                <c:pt idx="66">
                  <c:v>76</c:v>
                </c:pt>
                <c:pt idx="67">
                  <c:v>65</c:v>
                </c:pt>
                <c:pt idx="68">
                  <c:v>4</c:v>
                </c:pt>
                <c:pt idx="69">
                  <c:v>38</c:v>
                </c:pt>
                <c:pt idx="70">
                  <c:v>13</c:v>
                </c:pt>
                <c:pt idx="71">
                  <c:v>11</c:v>
                </c:pt>
                <c:pt idx="72">
                  <c:v>4</c:v>
                </c:pt>
                <c:pt idx="73">
                  <c:v>52</c:v>
                </c:pt>
                <c:pt idx="74">
                  <c:v>39</c:v>
                </c:pt>
                <c:pt idx="75">
                  <c:v>112</c:v>
                </c:pt>
                <c:pt idx="76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7E-4A97-8A70-BBC2A71C4F1C}"/>
            </c:ext>
          </c:extLst>
        </c:ser>
        <c:ser>
          <c:idx val="1"/>
          <c:order val="1"/>
          <c:tx>
            <c:strRef>
              <c:f>'Q9'!$E$28</c:f>
              <c:strCache>
                <c:ptCount val="1"/>
                <c:pt idx="0">
                  <c:v>quantitysold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multiLvlStrRef>
              <c:f>'Q9'!$A$29:$C$105</c:f>
              <c:multiLvlStrCache>
                <c:ptCount val="77"/>
                <c:lvl>
                  <c:pt idx="0">
                    <c:v>263.5</c:v>
                  </c:pt>
                  <c:pt idx="1">
                    <c:v>123.79</c:v>
                  </c:pt>
                  <c:pt idx="2">
                    <c:v>55</c:v>
                  </c:pt>
                  <c:pt idx="3">
                    <c:v>49.3</c:v>
                  </c:pt>
                  <c:pt idx="4">
                    <c:v>34</c:v>
                  </c:pt>
                  <c:pt idx="5">
                    <c:v>38</c:v>
                  </c:pt>
                  <c:pt idx="6">
                    <c:v>53</c:v>
                  </c:pt>
                  <c:pt idx="7">
                    <c:v>39</c:v>
                  </c:pt>
                  <c:pt idx="8">
                    <c:v>62.5</c:v>
                  </c:pt>
                  <c:pt idx="9">
                    <c:v>45.6</c:v>
                  </c:pt>
                  <c:pt idx="10">
                    <c:v>34.8</c:v>
                  </c:pt>
                  <c:pt idx="11">
                    <c:v>46</c:v>
                  </c:pt>
                  <c:pt idx="12">
                    <c:v>81</c:v>
                  </c:pt>
                  <c:pt idx="13">
                    <c:v>30</c:v>
                  </c:pt>
                  <c:pt idx="14">
                    <c:v>33.25</c:v>
                  </c:pt>
                  <c:pt idx="15">
                    <c:v>36</c:v>
                  </c:pt>
                  <c:pt idx="16">
                    <c:v>31</c:v>
                  </c:pt>
                  <c:pt idx="17">
                    <c:v>32.8</c:v>
                  </c:pt>
                  <c:pt idx="18">
                    <c:v>31.23</c:v>
                  </c:pt>
                  <c:pt idx="19">
                    <c:v>21.5</c:v>
                  </c:pt>
                  <c:pt idx="20">
                    <c:v>18.4</c:v>
                  </c:pt>
                  <c:pt idx="21">
                    <c:v>24</c:v>
                  </c:pt>
                  <c:pt idx="22">
                    <c:v>17.45</c:v>
                  </c:pt>
                  <c:pt idx="23">
                    <c:v>43.9</c:v>
                  </c:pt>
                  <c:pt idx="24">
                    <c:v>19</c:v>
                  </c:pt>
                  <c:pt idx="25">
                    <c:v>18</c:v>
                  </c:pt>
                  <c:pt idx="26">
                    <c:v>43.9</c:v>
                  </c:pt>
                  <c:pt idx="27">
                    <c:v>12.5</c:v>
                  </c:pt>
                  <c:pt idx="28">
                    <c:v>28.5</c:v>
                  </c:pt>
                  <c:pt idx="29">
                    <c:v>21.05</c:v>
                  </c:pt>
                  <c:pt idx="30">
                    <c:v>18</c:v>
                  </c:pt>
                  <c:pt idx="31">
                    <c:v>19</c:v>
                  </c:pt>
                  <c:pt idx="32">
                    <c:v>25.89</c:v>
                  </c:pt>
                  <c:pt idx="33">
                    <c:v>21</c:v>
                  </c:pt>
                  <c:pt idx="34">
                    <c:v>18</c:v>
                  </c:pt>
                  <c:pt idx="35">
                    <c:v>40</c:v>
                  </c:pt>
                  <c:pt idx="36">
                    <c:v>18</c:v>
                  </c:pt>
                  <c:pt idx="37">
                    <c:v>38</c:v>
                  </c:pt>
                  <c:pt idx="38">
                    <c:v>15</c:v>
                  </c:pt>
                  <c:pt idx="39">
                    <c:v>19.45</c:v>
                  </c:pt>
                  <c:pt idx="40">
                    <c:v>20</c:v>
                  </c:pt>
                  <c:pt idx="41">
                    <c:v>13</c:v>
                  </c:pt>
                  <c:pt idx="42">
                    <c:v>10</c:v>
                  </c:pt>
                  <c:pt idx="43">
                    <c:v>12.5</c:v>
                  </c:pt>
                  <c:pt idx="44">
                    <c:v>9.65</c:v>
                  </c:pt>
                  <c:pt idx="45">
                    <c:v>14</c:v>
                  </c:pt>
                  <c:pt idx="46">
                    <c:v>22</c:v>
                  </c:pt>
                  <c:pt idx="47">
                    <c:v>32</c:v>
                  </c:pt>
                  <c:pt idx="48">
                    <c:v>7.75</c:v>
                  </c:pt>
                  <c:pt idx="49">
                    <c:v>23.25</c:v>
                  </c:pt>
                  <c:pt idx="50">
                    <c:v>19.5</c:v>
                  </c:pt>
                  <c:pt idx="51">
                    <c:v>97</c:v>
                  </c:pt>
                  <c:pt idx="52">
                    <c:v>25</c:v>
                  </c:pt>
                  <c:pt idx="53">
                    <c:v>21</c:v>
                  </c:pt>
                  <c:pt idx="54">
                    <c:v>14</c:v>
                  </c:pt>
                  <c:pt idx="55">
                    <c:v>12</c:v>
                  </c:pt>
                  <c:pt idx="56">
                    <c:v>13.25</c:v>
                  </c:pt>
                  <c:pt idx="57">
                    <c:v>9.2</c:v>
                  </c:pt>
                  <c:pt idx="58">
                    <c:v>21.35</c:v>
                  </c:pt>
                  <c:pt idx="59">
                    <c:v>6</c:v>
                  </c:pt>
                  <c:pt idx="60">
                    <c:v>7.45</c:v>
                  </c:pt>
                  <c:pt idx="61">
                    <c:v>9</c:v>
                  </c:pt>
                  <c:pt idx="62">
                    <c:v>4.5</c:v>
                  </c:pt>
                  <c:pt idx="63">
                    <c:v>9.5</c:v>
                  </c:pt>
                  <c:pt idx="64">
                    <c:v>15</c:v>
                  </c:pt>
                  <c:pt idx="65">
                    <c:v>9.5</c:v>
                  </c:pt>
                  <c:pt idx="66">
                    <c:v>14</c:v>
                  </c:pt>
                  <c:pt idx="67">
                    <c:v>16.25</c:v>
                  </c:pt>
                  <c:pt idx="68">
                    <c:v>17</c:v>
                  </c:pt>
                  <c:pt idx="69">
                    <c:v>7</c:v>
                  </c:pt>
                  <c:pt idx="70">
                    <c:v>10</c:v>
                  </c:pt>
                  <c:pt idx="71">
                    <c:v>26</c:v>
                  </c:pt>
                  <c:pt idx="72">
                    <c:v>10</c:v>
                  </c:pt>
                  <c:pt idx="73">
                    <c:v>14</c:v>
                  </c:pt>
                  <c:pt idx="74">
                    <c:v>15.5</c:v>
                  </c:pt>
                  <c:pt idx="75">
                    <c:v>2.5</c:v>
                  </c:pt>
                  <c:pt idx="76">
                    <c:v>12.75</c:v>
                  </c:pt>
                </c:lvl>
                <c:lvl>
                  <c:pt idx="0">
                    <c:v>Côte de Blaye</c:v>
                  </c:pt>
                  <c:pt idx="1">
                    <c:v>Thüringer Rostbratwurst</c:v>
                  </c:pt>
                  <c:pt idx="2">
                    <c:v>Raclette Courdavault</c:v>
                  </c:pt>
                  <c:pt idx="3">
                    <c:v>Tarte au sucre</c:v>
                  </c:pt>
                  <c:pt idx="4">
                    <c:v>Camembert Pierrot</c:v>
                  </c:pt>
                  <c:pt idx="5">
                    <c:v>Gnocchi di nonna Alice</c:v>
                  </c:pt>
                  <c:pt idx="6">
                    <c:v>Manjimup Dried Apples</c:v>
                  </c:pt>
                  <c:pt idx="7">
                    <c:v>Alice Mutton</c:v>
                  </c:pt>
                  <c:pt idx="8">
                    <c:v>Carnarvon Tigers</c:v>
                  </c:pt>
                  <c:pt idx="9">
                    <c:v>Rössle Sauerkraut</c:v>
                  </c:pt>
                  <c:pt idx="10">
                    <c:v>Mozzarella di Giovanni</c:v>
                  </c:pt>
                  <c:pt idx="11">
                    <c:v>Ipoh Coffee</c:v>
                  </c:pt>
                  <c:pt idx="12">
                    <c:v>Sir Rodney's Marmalade</c:v>
                  </c:pt>
                  <c:pt idx="13">
                    <c:v>Uncle Bob's Organic Dried Pears</c:v>
                  </c:pt>
                  <c:pt idx="14">
                    <c:v>Wimmers gute Semmelknödel</c:v>
                  </c:pt>
                  <c:pt idx="15">
                    <c:v>Gudbrandsdalsost</c:v>
                  </c:pt>
                  <c:pt idx="16">
                    <c:v>Ikura</c:v>
                  </c:pt>
                  <c:pt idx="17">
                    <c:v>Perth Pasties</c:v>
                  </c:pt>
                  <c:pt idx="18">
                    <c:v>Gumbär Gummibärchen</c:v>
                  </c:pt>
                  <c:pt idx="19">
                    <c:v>Fløtemysost</c:v>
                  </c:pt>
                  <c:pt idx="20">
                    <c:v>Boston Crab Meat</c:v>
                  </c:pt>
                  <c:pt idx="21">
                    <c:v>Pâté chinois</c:v>
                  </c:pt>
                  <c:pt idx="22">
                    <c:v>Pavlova</c:v>
                  </c:pt>
                  <c:pt idx="23">
                    <c:v>Vegie-spread</c:v>
                  </c:pt>
                  <c:pt idx="24">
                    <c:v>Chang</c:v>
                  </c:pt>
                  <c:pt idx="25">
                    <c:v>Lakkalikööri</c:v>
                  </c:pt>
                  <c:pt idx="26">
                    <c:v>Schoggi Schokolade</c:v>
                  </c:pt>
                  <c:pt idx="27">
                    <c:v>Gorgonzola Telino</c:v>
                  </c:pt>
                  <c:pt idx="28">
                    <c:v>Sirop d'érable</c:v>
                  </c:pt>
                  <c:pt idx="29">
                    <c:v>Louisiana Fiery Hot Pepper Sauce</c:v>
                  </c:pt>
                  <c:pt idx="30">
                    <c:v>Steeleye Stout</c:v>
                  </c:pt>
                  <c:pt idx="31">
                    <c:v>Inlagd Sill</c:v>
                  </c:pt>
                  <c:pt idx="32">
                    <c:v>Nord-Ost Matjeshering</c:v>
                  </c:pt>
                  <c:pt idx="33">
                    <c:v>Queso Cabrales</c:v>
                  </c:pt>
                  <c:pt idx="34">
                    <c:v>Chai</c:v>
                  </c:pt>
                  <c:pt idx="35">
                    <c:v>Northwoods Cranberry Sauce</c:v>
                  </c:pt>
                  <c:pt idx="36">
                    <c:v>Chartreuse verte</c:v>
                  </c:pt>
                  <c:pt idx="37">
                    <c:v>Queso Manchego La Pastora</c:v>
                  </c:pt>
                  <c:pt idx="38">
                    <c:v>Outback Lager</c:v>
                  </c:pt>
                  <c:pt idx="39">
                    <c:v>Gula Malacca</c:v>
                  </c:pt>
                  <c:pt idx="40">
                    <c:v>Maxilaku</c:v>
                  </c:pt>
                  <c:pt idx="41">
                    <c:v>Original Frankfurter grüne Soße</c:v>
                  </c:pt>
                  <c:pt idx="42">
                    <c:v>Sir Rodney's Scones</c:v>
                  </c:pt>
                  <c:pt idx="43">
                    <c:v>Scottish Longbreads</c:v>
                  </c:pt>
                  <c:pt idx="44">
                    <c:v>Jack's New England Clam Chowder</c:v>
                  </c:pt>
                  <c:pt idx="45">
                    <c:v>Singaporean Hokkien Fried Mee</c:v>
                  </c:pt>
                  <c:pt idx="46">
                    <c:v>Chef Anton's Cajun Seasoning</c:v>
                  </c:pt>
                  <c:pt idx="47">
                    <c:v>Mascarpone Fabioli</c:v>
                  </c:pt>
                  <c:pt idx="48">
                    <c:v>Rhönbräu Klosterbier</c:v>
                  </c:pt>
                  <c:pt idx="49">
                    <c:v>Tofu</c:v>
                  </c:pt>
                  <c:pt idx="50">
                    <c:v>Ravioli Angelo</c:v>
                  </c:pt>
                  <c:pt idx="51">
                    <c:v>Mishi Kobe Niku</c:v>
                  </c:pt>
                  <c:pt idx="52">
                    <c:v>Grandma's Boysenberry Spread</c:v>
                  </c:pt>
                  <c:pt idx="53">
                    <c:v>Gustaf's Knäckebröd</c:v>
                  </c:pt>
                  <c:pt idx="54">
                    <c:v>Sasquatch Ale</c:v>
                  </c:pt>
                  <c:pt idx="55">
                    <c:v>Spegesild</c:v>
                  </c:pt>
                  <c:pt idx="56">
                    <c:v>Escargots de Bourgogne</c:v>
                  </c:pt>
                  <c:pt idx="57">
                    <c:v>Teatime Chocolate Biscuits</c:v>
                  </c:pt>
                  <c:pt idx="58">
                    <c:v>Chef Anton's Gumbo Mix</c:v>
                  </c:pt>
                  <c:pt idx="59">
                    <c:v>Konbu</c:v>
                  </c:pt>
                  <c:pt idx="60">
                    <c:v>Tourtière</c:v>
                  </c:pt>
                  <c:pt idx="61">
                    <c:v>Tunnbröd</c:v>
                  </c:pt>
                  <c:pt idx="62">
                    <c:v>Guaraná Fantástica</c:v>
                  </c:pt>
                  <c:pt idx="63">
                    <c:v>Røgede sild</c:v>
                  </c:pt>
                  <c:pt idx="64">
                    <c:v>Röd Kaviar</c:v>
                  </c:pt>
                  <c:pt idx="65">
                    <c:v>Zaanse koeken</c:v>
                  </c:pt>
                  <c:pt idx="66">
                    <c:v>NuNuCa Nuß-Nougat-Creme</c:v>
                  </c:pt>
                  <c:pt idx="67">
                    <c:v>Valkoinen suklaa</c:v>
                  </c:pt>
                  <c:pt idx="68">
                    <c:v>Louisiana Hot Spiced Okra</c:v>
                  </c:pt>
                  <c:pt idx="69">
                    <c:v>Filo Mix</c:v>
                  </c:pt>
                  <c:pt idx="70">
                    <c:v>Aniseed Syrup</c:v>
                  </c:pt>
                  <c:pt idx="71">
                    <c:v>Gravad lax</c:v>
                  </c:pt>
                  <c:pt idx="72">
                    <c:v>Longlife Tofu</c:v>
                  </c:pt>
                  <c:pt idx="73">
                    <c:v>Laughing Lumberjack Lager</c:v>
                  </c:pt>
                  <c:pt idx="74">
                    <c:v>Genen Shouyu</c:v>
                  </c:pt>
                  <c:pt idx="75">
                    <c:v>Geitost</c:v>
                  </c:pt>
                  <c:pt idx="76">
                    <c:v>Chocolade</c:v>
                  </c:pt>
                </c:lvl>
                <c:lvl>
                  <c:pt idx="0">
                    <c:v>38</c:v>
                  </c:pt>
                  <c:pt idx="1">
                    <c:v>29</c:v>
                  </c:pt>
                  <c:pt idx="2">
                    <c:v>59</c:v>
                  </c:pt>
                  <c:pt idx="3">
                    <c:v>62</c:v>
                  </c:pt>
                  <c:pt idx="4">
                    <c:v>60</c:v>
                  </c:pt>
                  <c:pt idx="5">
                    <c:v>56</c:v>
                  </c:pt>
                  <c:pt idx="6">
                    <c:v>51</c:v>
                  </c:pt>
                  <c:pt idx="7">
                    <c:v>17</c:v>
                  </c:pt>
                  <c:pt idx="8">
                    <c:v>18</c:v>
                  </c:pt>
                  <c:pt idx="9">
                    <c:v>28</c:v>
                  </c:pt>
                  <c:pt idx="10">
                    <c:v>72</c:v>
                  </c:pt>
                  <c:pt idx="11">
                    <c:v>43</c:v>
                  </c:pt>
                  <c:pt idx="12">
                    <c:v>20</c:v>
                  </c:pt>
                  <c:pt idx="13">
                    <c:v>7</c:v>
                  </c:pt>
                  <c:pt idx="14">
                    <c:v>64</c:v>
                  </c:pt>
                  <c:pt idx="15">
                    <c:v>69</c:v>
                  </c:pt>
                  <c:pt idx="16">
                    <c:v>10</c:v>
                  </c:pt>
                  <c:pt idx="17">
                    <c:v>53</c:v>
                  </c:pt>
                  <c:pt idx="18">
                    <c:v>26</c:v>
                  </c:pt>
                  <c:pt idx="19">
                    <c:v>71</c:v>
                  </c:pt>
                  <c:pt idx="20">
                    <c:v>40</c:v>
                  </c:pt>
                  <c:pt idx="21">
                    <c:v>55</c:v>
                  </c:pt>
                  <c:pt idx="22">
                    <c:v>16</c:v>
                  </c:pt>
                  <c:pt idx="23">
                    <c:v>63</c:v>
                  </c:pt>
                  <c:pt idx="24">
                    <c:v>2</c:v>
                  </c:pt>
                  <c:pt idx="25">
                    <c:v>76</c:v>
                  </c:pt>
                  <c:pt idx="26">
                    <c:v>27</c:v>
                  </c:pt>
                  <c:pt idx="27">
                    <c:v>31</c:v>
                  </c:pt>
                  <c:pt idx="28">
                    <c:v>61</c:v>
                  </c:pt>
                  <c:pt idx="29">
                    <c:v>65</c:v>
                  </c:pt>
                  <c:pt idx="30">
                    <c:v>35</c:v>
                  </c:pt>
                  <c:pt idx="31">
                    <c:v>36</c:v>
                  </c:pt>
                  <c:pt idx="32">
                    <c:v>30</c:v>
                  </c:pt>
                  <c:pt idx="33">
                    <c:v>11</c:v>
                  </c:pt>
                  <c:pt idx="34">
                    <c:v>1</c:v>
                  </c:pt>
                  <c:pt idx="35">
                    <c:v>8</c:v>
                  </c:pt>
                  <c:pt idx="36">
                    <c:v>39</c:v>
                  </c:pt>
                  <c:pt idx="37">
                    <c:v>12</c:v>
                  </c:pt>
                  <c:pt idx="38">
                    <c:v>70</c:v>
                  </c:pt>
                  <c:pt idx="39">
                    <c:v>44</c:v>
                  </c:pt>
                  <c:pt idx="40">
                    <c:v>49</c:v>
                  </c:pt>
                  <c:pt idx="41">
                    <c:v>77</c:v>
                  </c:pt>
                  <c:pt idx="42">
                    <c:v>21</c:v>
                  </c:pt>
                  <c:pt idx="43">
                    <c:v>68</c:v>
                  </c:pt>
                  <c:pt idx="44">
                    <c:v>41</c:v>
                  </c:pt>
                  <c:pt idx="45">
                    <c:v>42</c:v>
                  </c:pt>
                  <c:pt idx="46">
                    <c:v>4</c:v>
                  </c:pt>
                  <c:pt idx="47">
                    <c:v>32</c:v>
                  </c:pt>
                  <c:pt idx="48">
                    <c:v>75</c:v>
                  </c:pt>
                  <c:pt idx="49">
                    <c:v>14</c:v>
                  </c:pt>
                  <c:pt idx="50">
                    <c:v>57</c:v>
                  </c:pt>
                  <c:pt idx="51">
                    <c:v>9</c:v>
                  </c:pt>
                  <c:pt idx="52">
                    <c:v>6</c:v>
                  </c:pt>
                  <c:pt idx="53">
                    <c:v>22</c:v>
                  </c:pt>
                  <c:pt idx="54">
                    <c:v>34</c:v>
                  </c:pt>
                  <c:pt idx="55">
                    <c:v>46</c:v>
                  </c:pt>
                  <c:pt idx="56">
                    <c:v>58</c:v>
                  </c:pt>
                  <c:pt idx="57">
                    <c:v>19</c:v>
                  </c:pt>
                  <c:pt idx="58">
                    <c:v>5</c:v>
                  </c:pt>
                  <c:pt idx="59">
                    <c:v>13</c:v>
                  </c:pt>
                  <c:pt idx="60">
                    <c:v>54</c:v>
                  </c:pt>
                  <c:pt idx="61">
                    <c:v>23</c:v>
                  </c:pt>
                  <c:pt idx="62">
                    <c:v>24</c:v>
                  </c:pt>
                  <c:pt idx="63">
                    <c:v>45</c:v>
                  </c:pt>
                  <c:pt idx="64">
                    <c:v>73</c:v>
                  </c:pt>
                  <c:pt idx="65">
                    <c:v>47</c:v>
                  </c:pt>
                  <c:pt idx="66">
                    <c:v>25</c:v>
                  </c:pt>
                  <c:pt idx="67">
                    <c:v>50</c:v>
                  </c:pt>
                  <c:pt idx="68">
                    <c:v>66</c:v>
                  </c:pt>
                  <c:pt idx="69">
                    <c:v>52</c:v>
                  </c:pt>
                  <c:pt idx="70">
                    <c:v>3</c:v>
                  </c:pt>
                  <c:pt idx="71">
                    <c:v>37</c:v>
                  </c:pt>
                  <c:pt idx="72">
                    <c:v>74</c:v>
                  </c:pt>
                  <c:pt idx="73">
                    <c:v>67</c:v>
                  </c:pt>
                  <c:pt idx="74">
                    <c:v>15</c:v>
                  </c:pt>
                  <c:pt idx="75">
                    <c:v>33</c:v>
                  </c:pt>
                  <c:pt idx="76">
                    <c:v>48</c:v>
                  </c:pt>
                </c:lvl>
              </c:multiLvlStrCache>
            </c:multiLvlStrRef>
          </c:xVal>
          <c:yVal>
            <c:numRef>
              <c:f>'Q9'!$E$29:$E$105</c:f>
              <c:numCache>
                <c:formatCode>General</c:formatCode>
                <c:ptCount val="77"/>
                <c:pt idx="0">
                  <c:v>623</c:v>
                </c:pt>
                <c:pt idx="1">
                  <c:v>746</c:v>
                </c:pt>
                <c:pt idx="2">
                  <c:v>1496</c:v>
                </c:pt>
                <c:pt idx="3">
                  <c:v>1083</c:v>
                </c:pt>
                <c:pt idx="4">
                  <c:v>1577</c:v>
                </c:pt>
                <c:pt idx="5">
                  <c:v>1263</c:v>
                </c:pt>
                <c:pt idx="6">
                  <c:v>886</c:v>
                </c:pt>
                <c:pt idx="7">
                  <c:v>978</c:v>
                </c:pt>
                <c:pt idx="8">
                  <c:v>539</c:v>
                </c:pt>
                <c:pt idx="9">
                  <c:v>640</c:v>
                </c:pt>
                <c:pt idx="10">
                  <c:v>806</c:v>
                </c:pt>
                <c:pt idx="11">
                  <c:v>580</c:v>
                </c:pt>
                <c:pt idx="12">
                  <c:v>313</c:v>
                </c:pt>
                <c:pt idx="13">
                  <c:v>763</c:v>
                </c:pt>
                <c:pt idx="14">
                  <c:v>740</c:v>
                </c:pt>
                <c:pt idx="15">
                  <c:v>714</c:v>
                </c:pt>
                <c:pt idx="16">
                  <c:v>742</c:v>
                </c:pt>
                <c:pt idx="17">
                  <c:v>722</c:v>
                </c:pt>
                <c:pt idx="18">
                  <c:v>753</c:v>
                </c:pt>
                <c:pt idx="19">
                  <c:v>1057</c:v>
                </c:pt>
                <c:pt idx="20">
                  <c:v>1103</c:v>
                </c:pt>
                <c:pt idx="21">
                  <c:v>903</c:v>
                </c:pt>
                <c:pt idx="22">
                  <c:v>1158</c:v>
                </c:pt>
                <c:pt idx="23">
                  <c:v>445</c:v>
                </c:pt>
                <c:pt idx="24">
                  <c:v>1057</c:v>
                </c:pt>
                <c:pt idx="25">
                  <c:v>981</c:v>
                </c:pt>
                <c:pt idx="26">
                  <c:v>365</c:v>
                </c:pt>
                <c:pt idx="27">
                  <c:v>1397</c:v>
                </c:pt>
                <c:pt idx="28">
                  <c:v>603</c:v>
                </c:pt>
                <c:pt idx="29">
                  <c:v>745</c:v>
                </c:pt>
                <c:pt idx="30">
                  <c:v>883</c:v>
                </c:pt>
                <c:pt idx="31">
                  <c:v>805</c:v>
                </c:pt>
                <c:pt idx="32">
                  <c:v>612</c:v>
                </c:pt>
                <c:pt idx="33">
                  <c:v>706</c:v>
                </c:pt>
                <c:pt idx="34">
                  <c:v>828</c:v>
                </c:pt>
                <c:pt idx="35">
                  <c:v>372</c:v>
                </c:pt>
                <c:pt idx="36">
                  <c:v>793</c:v>
                </c:pt>
                <c:pt idx="37">
                  <c:v>344</c:v>
                </c:pt>
                <c:pt idx="38">
                  <c:v>817</c:v>
                </c:pt>
                <c:pt idx="39">
                  <c:v>601</c:v>
                </c:pt>
                <c:pt idx="40">
                  <c:v>520</c:v>
                </c:pt>
                <c:pt idx="41">
                  <c:v>791</c:v>
                </c:pt>
                <c:pt idx="42">
                  <c:v>1016</c:v>
                </c:pt>
                <c:pt idx="43">
                  <c:v>799</c:v>
                </c:pt>
                <c:pt idx="44">
                  <c:v>981</c:v>
                </c:pt>
                <c:pt idx="45">
                  <c:v>697</c:v>
                </c:pt>
                <c:pt idx="46">
                  <c:v>453</c:v>
                </c:pt>
                <c:pt idx="47">
                  <c:v>297</c:v>
                </c:pt>
                <c:pt idx="48">
                  <c:v>1155</c:v>
                </c:pt>
                <c:pt idx="49">
                  <c:v>404</c:v>
                </c:pt>
                <c:pt idx="50">
                  <c:v>434</c:v>
                </c:pt>
                <c:pt idx="51">
                  <c:v>95</c:v>
                </c:pt>
                <c:pt idx="52">
                  <c:v>301</c:v>
                </c:pt>
                <c:pt idx="53">
                  <c:v>348</c:v>
                </c:pt>
                <c:pt idx="54">
                  <c:v>506</c:v>
                </c:pt>
                <c:pt idx="55">
                  <c:v>548</c:v>
                </c:pt>
                <c:pt idx="56">
                  <c:v>534</c:v>
                </c:pt>
                <c:pt idx="57">
                  <c:v>723</c:v>
                </c:pt>
                <c:pt idx="58">
                  <c:v>298</c:v>
                </c:pt>
                <c:pt idx="59">
                  <c:v>891</c:v>
                </c:pt>
                <c:pt idx="60">
                  <c:v>755</c:v>
                </c:pt>
                <c:pt idx="61">
                  <c:v>580</c:v>
                </c:pt>
                <c:pt idx="62">
                  <c:v>1125</c:v>
                </c:pt>
                <c:pt idx="63">
                  <c:v>508</c:v>
                </c:pt>
                <c:pt idx="64">
                  <c:v>293</c:v>
                </c:pt>
                <c:pt idx="65">
                  <c:v>485</c:v>
                </c:pt>
                <c:pt idx="66">
                  <c:v>318</c:v>
                </c:pt>
                <c:pt idx="67">
                  <c:v>235</c:v>
                </c:pt>
                <c:pt idx="68">
                  <c:v>239</c:v>
                </c:pt>
                <c:pt idx="69">
                  <c:v>500</c:v>
                </c:pt>
                <c:pt idx="70">
                  <c:v>328</c:v>
                </c:pt>
                <c:pt idx="71">
                  <c:v>125</c:v>
                </c:pt>
                <c:pt idx="72">
                  <c:v>297</c:v>
                </c:pt>
                <c:pt idx="73">
                  <c:v>184</c:v>
                </c:pt>
                <c:pt idx="74">
                  <c:v>122</c:v>
                </c:pt>
                <c:pt idx="75">
                  <c:v>755</c:v>
                </c:pt>
                <c:pt idx="76">
                  <c:v>138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7E-4A97-8A70-BBC2A71C4F1C}"/>
            </c:ext>
          </c:extLst>
        </c:ser>
        <c:ser>
          <c:idx val="2"/>
          <c:order val="2"/>
          <c:tx>
            <c:strRef>
              <c:f>'Q9'!$F$28</c:f>
              <c:strCache>
                <c:ptCount val="1"/>
                <c:pt idx="0">
                  <c:v>revenue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multiLvlStrRef>
              <c:f>'Q9'!$A$29:$C$105</c:f>
              <c:multiLvlStrCache>
                <c:ptCount val="77"/>
                <c:lvl>
                  <c:pt idx="0">
                    <c:v>263.5</c:v>
                  </c:pt>
                  <c:pt idx="1">
                    <c:v>123.79</c:v>
                  </c:pt>
                  <c:pt idx="2">
                    <c:v>55</c:v>
                  </c:pt>
                  <c:pt idx="3">
                    <c:v>49.3</c:v>
                  </c:pt>
                  <c:pt idx="4">
                    <c:v>34</c:v>
                  </c:pt>
                  <c:pt idx="5">
                    <c:v>38</c:v>
                  </c:pt>
                  <c:pt idx="6">
                    <c:v>53</c:v>
                  </c:pt>
                  <c:pt idx="7">
                    <c:v>39</c:v>
                  </c:pt>
                  <c:pt idx="8">
                    <c:v>62.5</c:v>
                  </c:pt>
                  <c:pt idx="9">
                    <c:v>45.6</c:v>
                  </c:pt>
                  <c:pt idx="10">
                    <c:v>34.8</c:v>
                  </c:pt>
                  <c:pt idx="11">
                    <c:v>46</c:v>
                  </c:pt>
                  <c:pt idx="12">
                    <c:v>81</c:v>
                  </c:pt>
                  <c:pt idx="13">
                    <c:v>30</c:v>
                  </c:pt>
                  <c:pt idx="14">
                    <c:v>33.25</c:v>
                  </c:pt>
                  <c:pt idx="15">
                    <c:v>36</c:v>
                  </c:pt>
                  <c:pt idx="16">
                    <c:v>31</c:v>
                  </c:pt>
                  <c:pt idx="17">
                    <c:v>32.8</c:v>
                  </c:pt>
                  <c:pt idx="18">
                    <c:v>31.23</c:v>
                  </c:pt>
                  <c:pt idx="19">
                    <c:v>21.5</c:v>
                  </c:pt>
                  <c:pt idx="20">
                    <c:v>18.4</c:v>
                  </c:pt>
                  <c:pt idx="21">
                    <c:v>24</c:v>
                  </c:pt>
                  <c:pt idx="22">
                    <c:v>17.45</c:v>
                  </c:pt>
                  <c:pt idx="23">
                    <c:v>43.9</c:v>
                  </c:pt>
                  <c:pt idx="24">
                    <c:v>19</c:v>
                  </c:pt>
                  <c:pt idx="25">
                    <c:v>18</c:v>
                  </c:pt>
                  <c:pt idx="26">
                    <c:v>43.9</c:v>
                  </c:pt>
                  <c:pt idx="27">
                    <c:v>12.5</c:v>
                  </c:pt>
                  <c:pt idx="28">
                    <c:v>28.5</c:v>
                  </c:pt>
                  <c:pt idx="29">
                    <c:v>21.05</c:v>
                  </c:pt>
                  <c:pt idx="30">
                    <c:v>18</c:v>
                  </c:pt>
                  <c:pt idx="31">
                    <c:v>19</c:v>
                  </c:pt>
                  <c:pt idx="32">
                    <c:v>25.89</c:v>
                  </c:pt>
                  <c:pt idx="33">
                    <c:v>21</c:v>
                  </c:pt>
                  <c:pt idx="34">
                    <c:v>18</c:v>
                  </c:pt>
                  <c:pt idx="35">
                    <c:v>40</c:v>
                  </c:pt>
                  <c:pt idx="36">
                    <c:v>18</c:v>
                  </c:pt>
                  <c:pt idx="37">
                    <c:v>38</c:v>
                  </c:pt>
                  <c:pt idx="38">
                    <c:v>15</c:v>
                  </c:pt>
                  <c:pt idx="39">
                    <c:v>19.45</c:v>
                  </c:pt>
                  <c:pt idx="40">
                    <c:v>20</c:v>
                  </c:pt>
                  <c:pt idx="41">
                    <c:v>13</c:v>
                  </c:pt>
                  <c:pt idx="42">
                    <c:v>10</c:v>
                  </c:pt>
                  <c:pt idx="43">
                    <c:v>12.5</c:v>
                  </c:pt>
                  <c:pt idx="44">
                    <c:v>9.65</c:v>
                  </c:pt>
                  <c:pt idx="45">
                    <c:v>14</c:v>
                  </c:pt>
                  <c:pt idx="46">
                    <c:v>22</c:v>
                  </c:pt>
                  <c:pt idx="47">
                    <c:v>32</c:v>
                  </c:pt>
                  <c:pt idx="48">
                    <c:v>7.75</c:v>
                  </c:pt>
                  <c:pt idx="49">
                    <c:v>23.25</c:v>
                  </c:pt>
                  <c:pt idx="50">
                    <c:v>19.5</c:v>
                  </c:pt>
                  <c:pt idx="51">
                    <c:v>97</c:v>
                  </c:pt>
                  <c:pt idx="52">
                    <c:v>25</c:v>
                  </c:pt>
                  <c:pt idx="53">
                    <c:v>21</c:v>
                  </c:pt>
                  <c:pt idx="54">
                    <c:v>14</c:v>
                  </c:pt>
                  <c:pt idx="55">
                    <c:v>12</c:v>
                  </c:pt>
                  <c:pt idx="56">
                    <c:v>13.25</c:v>
                  </c:pt>
                  <c:pt idx="57">
                    <c:v>9.2</c:v>
                  </c:pt>
                  <c:pt idx="58">
                    <c:v>21.35</c:v>
                  </c:pt>
                  <c:pt idx="59">
                    <c:v>6</c:v>
                  </c:pt>
                  <c:pt idx="60">
                    <c:v>7.45</c:v>
                  </c:pt>
                  <c:pt idx="61">
                    <c:v>9</c:v>
                  </c:pt>
                  <c:pt idx="62">
                    <c:v>4.5</c:v>
                  </c:pt>
                  <c:pt idx="63">
                    <c:v>9.5</c:v>
                  </c:pt>
                  <c:pt idx="64">
                    <c:v>15</c:v>
                  </c:pt>
                  <c:pt idx="65">
                    <c:v>9.5</c:v>
                  </c:pt>
                  <c:pt idx="66">
                    <c:v>14</c:v>
                  </c:pt>
                  <c:pt idx="67">
                    <c:v>16.25</c:v>
                  </c:pt>
                  <c:pt idx="68">
                    <c:v>17</c:v>
                  </c:pt>
                  <c:pt idx="69">
                    <c:v>7</c:v>
                  </c:pt>
                  <c:pt idx="70">
                    <c:v>10</c:v>
                  </c:pt>
                  <c:pt idx="71">
                    <c:v>26</c:v>
                  </c:pt>
                  <c:pt idx="72">
                    <c:v>10</c:v>
                  </c:pt>
                  <c:pt idx="73">
                    <c:v>14</c:v>
                  </c:pt>
                  <c:pt idx="74">
                    <c:v>15.5</c:v>
                  </c:pt>
                  <c:pt idx="75">
                    <c:v>2.5</c:v>
                  </c:pt>
                  <c:pt idx="76">
                    <c:v>12.75</c:v>
                  </c:pt>
                </c:lvl>
                <c:lvl>
                  <c:pt idx="0">
                    <c:v>Côte de Blaye</c:v>
                  </c:pt>
                  <c:pt idx="1">
                    <c:v>Thüringer Rostbratwurst</c:v>
                  </c:pt>
                  <c:pt idx="2">
                    <c:v>Raclette Courdavault</c:v>
                  </c:pt>
                  <c:pt idx="3">
                    <c:v>Tarte au sucre</c:v>
                  </c:pt>
                  <c:pt idx="4">
                    <c:v>Camembert Pierrot</c:v>
                  </c:pt>
                  <c:pt idx="5">
                    <c:v>Gnocchi di nonna Alice</c:v>
                  </c:pt>
                  <c:pt idx="6">
                    <c:v>Manjimup Dried Apples</c:v>
                  </c:pt>
                  <c:pt idx="7">
                    <c:v>Alice Mutton</c:v>
                  </c:pt>
                  <c:pt idx="8">
                    <c:v>Carnarvon Tigers</c:v>
                  </c:pt>
                  <c:pt idx="9">
                    <c:v>Rössle Sauerkraut</c:v>
                  </c:pt>
                  <c:pt idx="10">
                    <c:v>Mozzarella di Giovanni</c:v>
                  </c:pt>
                  <c:pt idx="11">
                    <c:v>Ipoh Coffee</c:v>
                  </c:pt>
                  <c:pt idx="12">
                    <c:v>Sir Rodney's Marmalade</c:v>
                  </c:pt>
                  <c:pt idx="13">
                    <c:v>Uncle Bob's Organic Dried Pears</c:v>
                  </c:pt>
                  <c:pt idx="14">
                    <c:v>Wimmers gute Semmelknödel</c:v>
                  </c:pt>
                  <c:pt idx="15">
                    <c:v>Gudbrandsdalsost</c:v>
                  </c:pt>
                  <c:pt idx="16">
                    <c:v>Ikura</c:v>
                  </c:pt>
                  <c:pt idx="17">
                    <c:v>Perth Pasties</c:v>
                  </c:pt>
                  <c:pt idx="18">
                    <c:v>Gumbär Gummibärchen</c:v>
                  </c:pt>
                  <c:pt idx="19">
                    <c:v>Fløtemysost</c:v>
                  </c:pt>
                  <c:pt idx="20">
                    <c:v>Boston Crab Meat</c:v>
                  </c:pt>
                  <c:pt idx="21">
                    <c:v>Pâté chinois</c:v>
                  </c:pt>
                  <c:pt idx="22">
                    <c:v>Pavlova</c:v>
                  </c:pt>
                  <c:pt idx="23">
                    <c:v>Vegie-spread</c:v>
                  </c:pt>
                  <c:pt idx="24">
                    <c:v>Chang</c:v>
                  </c:pt>
                  <c:pt idx="25">
                    <c:v>Lakkalikööri</c:v>
                  </c:pt>
                  <c:pt idx="26">
                    <c:v>Schoggi Schokolade</c:v>
                  </c:pt>
                  <c:pt idx="27">
                    <c:v>Gorgonzola Telino</c:v>
                  </c:pt>
                  <c:pt idx="28">
                    <c:v>Sirop d'érable</c:v>
                  </c:pt>
                  <c:pt idx="29">
                    <c:v>Louisiana Fiery Hot Pepper Sauce</c:v>
                  </c:pt>
                  <c:pt idx="30">
                    <c:v>Steeleye Stout</c:v>
                  </c:pt>
                  <c:pt idx="31">
                    <c:v>Inlagd Sill</c:v>
                  </c:pt>
                  <c:pt idx="32">
                    <c:v>Nord-Ost Matjeshering</c:v>
                  </c:pt>
                  <c:pt idx="33">
                    <c:v>Queso Cabrales</c:v>
                  </c:pt>
                  <c:pt idx="34">
                    <c:v>Chai</c:v>
                  </c:pt>
                  <c:pt idx="35">
                    <c:v>Northwoods Cranberry Sauce</c:v>
                  </c:pt>
                  <c:pt idx="36">
                    <c:v>Chartreuse verte</c:v>
                  </c:pt>
                  <c:pt idx="37">
                    <c:v>Queso Manchego La Pastora</c:v>
                  </c:pt>
                  <c:pt idx="38">
                    <c:v>Outback Lager</c:v>
                  </c:pt>
                  <c:pt idx="39">
                    <c:v>Gula Malacca</c:v>
                  </c:pt>
                  <c:pt idx="40">
                    <c:v>Maxilaku</c:v>
                  </c:pt>
                  <c:pt idx="41">
                    <c:v>Original Frankfurter grüne Soße</c:v>
                  </c:pt>
                  <c:pt idx="42">
                    <c:v>Sir Rodney's Scones</c:v>
                  </c:pt>
                  <c:pt idx="43">
                    <c:v>Scottish Longbreads</c:v>
                  </c:pt>
                  <c:pt idx="44">
                    <c:v>Jack's New England Clam Chowder</c:v>
                  </c:pt>
                  <c:pt idx="45">
                    <c:v>Singaporean Hokkien Fried Mee</c:v>
                  </c:pt>
                  <c:pt idx="46">
                    <c:v>Chef Anton's Cajun Seasoning</c:v>
                  </c:pt>
                  <c:pt idx="47">
                    <c:v>Mascarpone Fabioli</c:v>
                  </c:pt>
                  <c:pt idx="48">
                    <c:v>Rhönbräu Klosterbier</c:v>
                  </c:pt>
                  <c:pt idx="49">
                    <c:v>Tofu</c:v>
                  </c:pt>
                  <c:pt idx="50">
                    <c:v>Ravioli Angelo</c:v>
                  </c:pt>
                  <c:pt idx="51">
                    <c:v>Mishi Kobe Niku</c:v>
                  </c:pt>
                  <c:pt idx="52">
                    <c:v>Grandma's Boysenberry Spread</c:v>
                  </c:pt>
                  <c:pt idx="53">
                    <c:v>Gustaf's Knäckebröd</c:v>
                  </c:pt>
                  <c:pt idx="54">
                    <c:v>Sasquatch Ale</c:v>
                  </c:pt>
                  <c:pt idx="55">
                    <c:v>Spegesild</c:v>
                  </c:pt>
                  <c:pt idx="56">
                    <c:v>Escargots de Bourgogne</c:v>
                  </c:pt>
                  <c:pt idx="57">
                    <c:v>Teatime Chocolate Biscuits</c:v>
                  </c:pt>
                  <c:pt idx="58">
                    <c:v>Chef Anton's Gumbo Mix</c:v>
                  </c:pt>
                  <c:pt idx="59">
                    <c:v>Konbu</c:v>
                  </c:pt>
                  <c:pt idx="60">
                    <c:v>Tourtière</c:v>
                  </c:pt>
                  <c:pt idx="61">
                    <c:v>Tunnbröd</c:v>
                  </c:pt>
                  <c:pt idx="62">
                    <c:v>Guaraná Fantástica</c:v>
                  </c:pt>
                  <c:pt idx="63">
                    <c:v>Røgede sild</c:v>
                  </c:pt>
                  <c:pt idx="64">
                    <c:v>Röd Kaviar</c:v>
                  </c:pt>
                  <c:pt idx="65">
                    <c:v>Zaanse koeken</c:v>
                  </c:pt>
                  <c:pt idx="66">
                    <c:v>NuNuCa Nuß-Nougat-Creme</c:v>
                  </c:pt>
                  <c:pt idx="67">
                    <c:v>Valkoinen suklaa</c:v>
                  </c:pt>
                  <c:pt idx="68">
                    <c:v>Louisiana Hot Spiced Okra</c:v>
                  </c:pt>
                  <c:pt idx="69">
                    <c:v>Filo Mix</c:v>
                  </c:pt>
                  <c:pt idx="70">
                    <c:v>Aniseed Syrup</c:v>
                  </c:pt>
                  <c:pt idx="71">
                    <c:v>Gravad lax</c:v>
                  </c:pt>
                  <c:pt idx="72">
                    <c:v>Longlife Tofu</c:v>
                  </c:pt>
                  <c:pt idx="73">
                    <c:v>Laughing Lumberjack Lager</c:v>
                  </c:pt>
                  <c:pt idx="74">
                    <c:v>Genen Shouyu</c:v>
                  </c:pt>
                  <c:pt idx="75">
                    <c:v>Geitost</c:v>
                  </c:pt>
                  <c:pt idx="76">
                    <c:v>Chocolade</c:v>
                  </c:pt>
                </c:lvl>
                <c:lvl>
                  <c:pt idx="0">
                    <c:v>38</c:v>
                  </c:pt>
                  <c:pt idx="1">
                    <c:v>29</c:v>
                  </c:pt>
                  <c:pt idx="2">
                    <c:v>59</c:v>
                  </c:pt>
                  <c:pt idx="3">
                    <c:v>62</c:v>
                  </c:pt>
                  <c:pt idx="4">
                    <c:v>60</c:v>
                  </c:pt>
                  <c:pt idx="5">
                    <c:v>56</c:v>
                  </c:pt>
                  <c:pt idx="6">
                    <c:v>51</c:v>
                  </c:pt>
                  <c:pt idx="7">
                    <c:v>17</c:v>
                  </c:pt>
                  <c:pt idx="8">
                    <c:v>18</c:v>
                  </c:pt>
                  <c:pt idx="9">
                    <c:v>28</c:v>
                  </c:pt>
                  <c:pt idx="10">
                    <c:v>72</c:v>
                  </c:pt>
                  <c:pt idx="11">
                    <c:v>43</c:v>
                  </c:pt>
                  <c:pt idx="12">
                    <c:v>20</c:v>
                  </c:pt>
                  <c:pt idx="13">
                    <c:v>7</c:v>
                  </c:pt>
                  <c:pt idx="14">
                    <c:v>64</c:v>
                  </c:pt>
                  <c:pt idx="15">
                    <c:v>69</c:v>
                  </c:pt>
                  <c:pt idx="16">
                    <c:v>10</c:v>
                  </c:pt>
                  <c:pt idx="17">
                    <c:v>53</c:v>
                  </c:pt>
                  <c:pt idx="18">
                    <c:v>26</c:v>
                  </c:pt>
                  <c:pt idx="19">
                    <c:v>71</c:v>
                  </c:pt>
                  <c:pt idx="20">
                    <c:v>40</c:v>
                  </c:pt>
                  <c:pt idx="21">
                    <c:v>55</c:v>
                  </c:pt>
                  <c:pt idx="22">
                    <c:v>16</c:v>
                  </c:pt>
                  <c:pt idx="23">
                    <c:v>63</c:v>
                  </c:pt>
                  <c:pt idx="24">
                    <c:v>2</c:v>
                  </c:pt>
                  <c:pt idx="25">
                    <c:v>76</c:v>
                  </c:pt>
                  <c:pt idx="26">
                    <c:v>27</c:v>
                  </c:pt>
                  <c:pt idx="27">
                    <c:v>31</c:v>
                  </c:pt>
                  <c:pt idx="28">
                    <c:v>61</c:v>
                  </c:pt>
                  <c:pt idx="29">
                    <c:v>65</c:v>
                  </c:pt>
                  <c:pt idx="30">
                    <c:v>35</c:v>
                  </c:pt>
                  <c:pt idx="31">
                    <c:v>36</c:v>
                  </c:pt>
                  <c:pt idx="32">
                    <c:v>30</c:v>
                  </c:pt>
                  <c:pt idx="33">
                    <c:v>11</c:v>
                  </c:pt>
                  <c:pt idx="34">
                    <c:v>1</c:v>
                  </c:pt>
                  <c:pt idx="35">
                    <c:v>8</c:v>
                  </c:pt>
                  <c:pt idx="36">
                    <c:v>39</c:v>
                  </c:pt>
                  <c:pt idx="37">
                    <c:v>12</c:v>
                  </c:pt>
                  <c:pt idx="38">
                    <c:v>70</c:v>
                  </c:pt>
                  <c:pt idx="39">
                    <c:v>44</c:v>
                  </c:pt>
                  <c:pt idx="40">
                    <c:v>49</c:v>
                  </c:pt>
                  <c:pt idx="41">
                    <c:v>77</c:v>
                  </c:pt>
                  <c:pt idx="42">
                    <c:v>21</c:v>
                  </c:pt>
                  <c:pt idx="43">
                    <c:v>68</c:v>
                  </c:pt>
                  <c:pt idx="44">
                    <c:v>41</c:v>
                  </c:pt>
                  <c:pt idx="45">
                    <c:v>42</c:v>
                  </c:pt>
                  <c:pt idx="46">
                    <c:v>4</c:v>
                  </c:pt>
                  <c:pt idx="47">
                    <c:v>32</c:v>
                  </c:pt>
                  <c:pt idx="48">
                    <c:v>75</c:v>
                  </c:pt>
                  <c:pt idx="49">
                    <c:v>14</c:v>
                  </c:pt>
                  <c:pt idx="50">
                    <c:v>57</c:v>
                  </c:pt>
                  <c:pt idx="51">
                    <c:v>9</c:v>
                  </c:pt>
                  <c:pt idx="52">
                    <c:v>6</c:v>
                  </c:pt>
                  <c:pt idx="53">
                    <c:v>22</c:v>
                  </c:pt>
                  <c:pt idx="54">
                    <c:v>34</c:v>
                  </c:pt>
                  <c:pt idx="55">
                    <c:v>46</c:v>
                  </c:pt>
                  <c:pt idx="56">
                    <c:v>58</c:v>
                  </c:pt>
                  <c:pt idx="57">
                    <c:v>19</c:v>
                  </c:pt>
                  <c:pt idx="58">
                    <c:v>5</c:v>
                  </c:pt>
                  <c:pt idx="59">
                    <c:v>13</c:v>
                  </c:pt>
                  <c:pt idx="60">
                    <c:v>54</c:v>
                  </c:pt>
                  <c:pt idx="61">
                    <c:v>23</c:v>
                  </c:pt>
                  <c:pt idx="62">
                    <c:v>24</c:v>
                  </c:pt>
                  <c:pt idx="63">
                    <c:v>45</c:v>
                  </c:pt>
                  <c:pt idx="64">
                    <c:v>73</c:v>
                  </c:pt>
                  <c:pt idx="65">
                    <c:v>47</c:v>
                  </c:pt>
                  <c:pt idx="66">
                    <c:v>25</c:v>
                  </c:pt>
                  <c:pt idx="67">
                    <c:v>50</c:v>
                  </c:pt>
                  <c:pt idx="68">
                    <c:v>66</c:v>
                  </c:pt>
                  <c:pt idx="69">
                    <c:v>52</c:v>
                  </c:pt>
                  <c:pt idx="70">
                    <c:v>3</c:v>
                  </c:pt>
                  <c:pt idx="71">
                    <c:v>37</c:v>
                  </c:pt>
                  <c:pt idx="72">
                    <c:v>74</c:v>
                  </c:pt>
                  <c:pt idx="73">
                    <c:v>67</c:v>
                  </c:pt>
                  <c:pt idx="74">
                    <c:v>15</c:v>
                  </c:pt>
                  <c:pt idx="75">
                    <c:v>33</c:v>
                  </c:pt>
                  <c:pt idx="76">
                    <c:v>48</c:v>
                  </c:pt>
                </c:lvl>
              </c:multiLvlStrCache>
            </c:multiLvlStrRef>
          </c:xVal>
          <c:yVal>
            <c:numRef>
              <c:f>'Q9'!$F$29:$F$105</c:f>
              <c:numCache>
                <c:formatCode>General</c:formatCode>
                <c:ptCount val="77"/>
                <c:pt idx="0">
                  <c:v>141396.74</c:v>
                </c:pt>
                <c:pt idx="1">
                  <c:v>80368.67</c:v>
                </c:pt>
                <c:pt idx="2">
                  <c:v>71155.7</c:v>
                </c:pt>
                <c:pt idx="3">
                  <c:v>47234.97</c:v>
                </c:pt>
                <c:pt idx="4">
                  <c:v>46825.48</c:v>
                </c:pt>
                <c:pt idx="5">
                  <c:v>42593.06</c:v>
                </c:pt>
                <c:pt idx="6">
                  <c:v>41819.65</c:v>
                </c:pt>
                <c:pt idx="7">
                  <c:v>32698.38</c:v>
                </c:pt>
                <c:pt idx="8">
                  <c:v>29171.88</c:v>
                </c:pt>
                <c:pt idx="9">
                  <c:v>25696.639999999999</c:v>
                </c:pt>
                <c:pt idx="10">
                  <c:v>24900.13</c:v>
                </c:pt>
                <c:pt idx="11">
                  <c:v>23526.7</c:v>
                </c:pt>
                <c:pt idx="12">
                  <c:v>22563.360000000001</c:v>
                </c:pt>
                <c:pt idx="13">
                  <c:v>22044.3</c:v>
                </c:pt>
                <c:pt idx="14">
                  <c:v>21957.97</c:v>
                </c:pt>
                <c:pt idx="15">
                  <c:v>21942.36</c:v>
                </c:pt>
                <c:pt idx="16">
                  <c:v>20867.34</c:v>
                </c:pt>
                <c:pt idx="17">
                  <c:v>20574.169999999998</c:v>
                </c:pt>
                <c:pt idx="18">
                  <c:v>19849.14</c:v>
                </c:pt>
                <c:pt idx="19">
                  <c:v>19551.03</c:v>
                </c:pt>
                <c:pt idx="20">
                  <c:v>17910.63</c:v>
                </c:pt>
                <c:pt idx="21">
                  <c:v>17426.400000000001</c:v>
                </c:pt>
                <c:pt idx="22">
                  <c:v>17215.78</c:v>
                </c:pt>
                <c:pt idx="23">
                  <c:v>16701.099999999999</c:v>
                </c:pt>
                <c:pt idx="24">
                  <c:v>16355.96</c:v>
                </c:pt>
                <c:pt idx="25">
                  <c:v>15760.44</c:v>
                </c:pt>
                <c:pt idx="26">
                  <c:v>15099.88</c:v>
                </c:pt>
                <c:pt idx="27">
                  <c:v>14920.88</c:v>
                </c:pt>
                <c:pt idx="28">
                  <c:v>14352.6</c:v>
                </c:pt>
                <c:pt idx="29">
                  <c:v>13869.89</c:v>
                </c:pt>
                <c:pt idx="30">
                  <c:v>13644</c:v>
                </c:pt>
                <c:pt idx="31">
                  <c:v>13458.46</c:v>
                </c:pt>
                <c:pt idx="32">
                  <c:v>13424.2</c:v>
                </c:pt>
                <c:pt idx="33">
                  <c:v>12901.77</c:v>
                </c:pt>
                <c:pt idx="34">
                  <c:v>12788.1</c:v>
                </c:pt>
                <c:pt idx="35">
                  <c:v>12772</c:v>
                </c:pt>
                <c:pt idx="36">
                  <c:v>12294.54</c:v>
                </c:pt>
                <c:pt idx="37">
                  <c:v>12257.66</c:v>
                </c:pt>
                <c:pt idx="38">
                  <c:v>10672.65</c:v>
                </c:pt>
                <c:pt idx="39">
                  <c:v>9915.9500000000007</c:v>
                </c:pt>
                <c:pt idx="40">
                  <c:v>9244.6</c:v>
                </c:pt>
                <c:pt idx="41">
                  <c:v>9171.6299999999992</c:v>
                </c:pt>
                <c:pt idx="42">
                  <c:v>9104</c:v>
                </c:pt>
                <c:pt idx="43">
                  <c:v>8714</c:v>
                </c:pt>
                <c:pt idx="44">
                  <c:v>8680.35</c:v>
                </c:pt>
                <c:pt idx="45">
                  <c:v>8575</c:v>
                </c:pt>
                <c:pt idx="46">
                  <c:v>8567.9</c:v>
                </c:pt>
                <c:pt idx="47">
                  <c:v>8404.16</c:v>
                </c:pt>
                <c:pt idx="48">
                  <c:v>8177.49</c:v>
                </c:pt>
                <c:pt idx="49">
                  <c:v>7991.49</c:v>
                </c:pt>
                <c:pt idx="50">
                  <c:v>7661.55</c:v>
                </c:pt>
                <c:pt idx="51">
                  <c:v>7226.5</c:v>
                </c:pt>
                <c:pt idx="52">
                  <c:v>7137</c:v>
                </c:pt>
                <c:pt idx="53">
                  <c:v>7122.36</c:v>
                </c:pt>
                <c:pt idx="54">
                  <c:v>6350.4</c:v>
                </c:pt>
                <c:pt idx="55">
                  <c:v>5883</c:v>
                </c:pt>
                <c:pt idx="56">
                  <c:v>5881.68</c:v>
                </c:pt>
                <c:pt idx="57">
                  <c:v>5862.62</c:v>
                </c:pt>
                <c:pt idx="58">
                  <c:v>5347.2</c:v>
                </c:pt>
                <c:pt idx="59">
                  <c:v>4960.4399999999996</c:v>
                </c:pt>
                <c:pt idx="60">
                  <c:v>4728.24</c:v>
                </c:pt>
                <c:pt idx="61">
                  <c:v>4601.7</c:v>
                </c:pt>
                <c:pt idx="62">
                  <c:v>4504.37</c:v>
                </c:pt>
                <c:pt idx="63">
                  <c:v>4338.18</c:v>
                </c:pt>
                <c:pt idx="64">
                  <c:v>3997.2</c:v>
                </c:pt>
                <c:pt idx="65">
                  <c:v>3958.08</c:v>
                </c:pt>
                <c:pt idx="66">
                  <c:v>3704.4</c:v>
                </c:pt>
                <c:pt idx="67">
                  <c:v>3437.69</c:v>
                </c:pt>
                <c:pt idx="68">
                  <c:v>3383</c:v>
                </c:pt>
                <c:pt idx="69">
                  <c:v>3232.95</c:v>
                </c:pt>
                <c:pt idx="70">
                  <c:v>3044</c:v>
                </c:pt>
                <c:pt idx="71">
                  <c:v>2688.4</c:v>
                </c:pt>
                <c:pt idx="72">
                  <c:v>2432.5</c:v>
                </c:pt>
                <c:pt idx="73">
                  <c:v>2396.8000000000002</c:v>
                </c:pt>
                <c:pt idx="74">
                  <c:v>1784.83</c:v>
                </c:pt>
                <c:pt idx="75">
                  <c:v>1648.13</c:v>
                </c:pt>
                <c:pt idx="76">
                  <c:v>1368.71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B7E-4A97-8A70-BBC2A71C4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8254639"/>
        <c:axId val="2048255119"/>
      </c:scatterChart>
      <c:valAx>
        <c:axId val="2048254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255119"/>
        <c:crosses val="autoZero"/>
        <c:crossBetween val="midCat"/>
      </c:valAx>
      <c:valAx>
        <c:axId val="204825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2546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[NORTHWIND_EDA.xlsx]Q9!PivotTable17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Revenue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'Q9'!$J$56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'Q9'!$I$57:$I$67</c:f>
              <c:strCache>
                <c:ptCount val="10"/>
                <c:pt idx="0">
                  <c:v>Alice Mutton</c:v>
                </c:pt>
                <c:pt idx="1">
                  <c:v>Camembert Pierrot</c:v>
                </c:pt>
                <c:pt idx="2">
                  <c:v>Carnarvon Tigers</c:v>
                </c:pt>
                <c:pt idx="3">
                  <c:v>Côte de Blaye</c:v>
                </c:pt>
                <c:pt idx="4">
                  <c:v>Gnocchi di nonna Alice</c:v>
                </c:pt>
                <c:pt idx="5">
                  <c:v>Manjimup Dried Apples</c:v>
                </c:pt>
                <c:pt idx="6">
                  <c:v>Raclette Courdavault</c:v>
                </c:pt>
                <c:pt idx="7">
                  <c:v>Rössle Sauerkraut</c:v>
                </c:pt>
                <c:pt idx="8">
                  <c:v>Tarte au sucre</c:v>
                </c:pt>
                <c:pt idx="9">
                  <c:v>Thüringer Rostbratwurst</c:v>
                </c:pt>
              </c:strCache>
            </c:strRef>
          </c:cat>
          <c:val>
            <c:numRef>
              <c:f>'Q9'!$J$57:$J$67</c:f>
              <c:numCache>
                <c:formatCode>General</c:formatCode>
                <c:ptCount val="10"/>
                <c:pt idx="0">
                  <c:v>32698.38</c:v>
                </c:pt>
                <c:pt idx="1">
                  <c:v>46825.48</c:v>
                </c:pt>
                <c:pt idx="2">
                  <c:v>29171.88</c:v>
                </c:pt>
                <c:pt idx="3">
                  <c:v>141396.74</c:v>
                </c:pt>
                <c:pt idx="4">
                  <c:v>42593.06</c:v>
                </c:pt>
                <c:pt idx="5">
                  <c:v>41819.65</c:v>
                </c:pt>
                <c:pt idx="6">
                  <c:v>71155.7</c:v>
                </c:pt>
                <c:pt idx="7">
                  <c:v>25696.639999999999</c:v>
                </c:pt>
                <c:pt idx="8">
                  <c:v>47234.97</c:v>
                </c:pt>
                <c:pt idx="9">
                  <c:v>80368.67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71-4811-920F-B377F2571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626802911"/>
        <c:axId val="626801951"/>
      </c:barChart>
      <c:catAx>
        <c:axId val="62680291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801951"/>
        <c:crosses val="autoZero"/>
        <c:auto val="1"/>
        <c:lblAlgn val="ctr"/>
        <c:lblOffset val="100"/>
        <c:noMultiLvlLbl val="0"/>
      </c:catAx>
      <c:valAx>
        <c:axId val="62680195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802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[NORTHWIND_EDA.xlsx]Q10!PivotTable1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Product Demand Trend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'Q10'!$H$31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'Q10'!$G$32:$G$44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'Q10'!$H$32:$H$44</c:f>
              <c:numCache>
                <c:formatCode>General</c:formatCode>
                <c:ptCount val="12"/>
                <c:pt idx="0">
                  <c:v>4882</c:v>
                </c:pt>
                <c:pt idx="1">
                  <c:v>5244</c:v>
                </c:pt>
                <c:pt idx="2">
                  <c:v>5870</c:v>
                </c:pt>
                <c:pt idx="3">
                  <c:v>5687</c:v>
                </c:pt>
                <c:pt idx="4">
                  <c:v>7017</c:v>
                </c:pt>
                <c:pt idx="5">
                  <c:v>2808</c:v>
                </c:pt>
                <c:pt idx="6">
                  <c:v>1635</c:v>
                </c:pt>
                <c:pt idx="7">
                  <c:v>3516</c:v>
                </c:pt>
                <c:pt idx="8">
                  <c:v>3183</c:v>
                </c:pt>
                <c:pt idx="9">
                  <c:v>3467</c:v>
                </c:pt>
                <c:pt idx="10">
                  <c:v>4326</c:v>
                </c:pt>
                <c:pt idx="11">
                  <c:v>3682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B5-4273-92A4-C84D557F412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79261056"/>
        <c:axId val="479262496"/>
      </c:lineChart>
      <c:catAx>
        <c:axId val="47926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262496"/>
        <c:crosses val="autoZero"/>
        <c:auto val="1"/>
        <c:lblAlgn val="ctr"/>
        <c:lblOffset val="100"/>
        <c:noMultiLvlLbl val="0"/>
      </c:catAx>
      <c:valAx>
        <c:axId val="47926249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7926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[NORTHWIND_EDA.xlsx]Q11!PivotTable18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15 Products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'Q11'!$I$34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'Q11'!$H$35:$H$50</c:f>
              <c:strCache>
                <c:ptCount val="15"/>
                <c:pt idx="0">
                  <c:v>72</c:v>
                </c:pt>
                <c:pt idx="1">
                  <c:v>64</c:v>
                </c:pt>
                <c:pt idx="2">
                  <c:v>62</c:v>
                </c:pt>
                <c:pt idx="3">
                  <c:v>60</c:v>
                </c:pt>
                <c:pt idx="4">
                  <c:v>59</c:v>
                </c:pt>
                <c:pt idx="5">
                  <c:v>56</c:v>
                </c:pt>
                <c:pt idx="6">
                  <c:v>51</c:v>
                </c:pt>
                <c:pt idx="7">
                  <c:v>43</c:v>
                </c:pt>
                <c:pt idx="8">
                  <c:v>38</c:v>
                </c:pt>
                <c:pt idx="9">
                  <c:v>29</c:v>
                </c:pt>
                <c:pt idx="10">
                  <c:v>28</c:v>
                </c:pt>
                <c:pt idx="11">
                  <c:v>20</c:v>
                </c:pt>
                <c:pt idx="12">
                  <c:v>18</c:v>
                </c:pt>
                <c:pt idx="13">
                  <c:v>17</c:v>
                </c:pt>
                <c:pt idx="14">
                  <c:v>7</c:v>
                </c:pt>
              </c:strCache>
            </c:strRef>
          </c:cat>
          <c:val>
            <c:numRef>
              <c:f>'Q11'!$I$35:$I$50</c:f>
              <c:numCache>
                <c:formatCode>General</c:formatCode>
                <c:ptCount val="15"/>
                <c:pt idx="0">
                  <c:v>24900.13</c:v>
                </c:pt>
                <c:pt idx="1">
                  <c:v>21957.97</c:v>
                </c:pt>
                <c:pt idx="2">
                  <c:v>47234.97</c:v>
                </c:pt>
                <c:pt idx="3">
                  <c:v>46825.48</c:v>
                </c:pt>
                <c:pt idx="4">
                  <c:v>71155.7</c:v>
                </c:pt>
                <c:pt idx="5">
                  <c:v>42593.06</c:v>
                </c:pt>
                <c:pt idx="6">
                  <c:v>41819.65</c:v>
                </c:pt>
                <c:pt idx="7">
                  <c:v>23526.7</c:v>
                </c:pt>
                <c:pt idx="8">
                  <c:v>141396.74</c:v>
                </c:pt>
                <c:pt idx="9">
                  <c:v>80368.67</c:v>
                </c:pt>
                <c:pt idx="10">
                  <c:v>25696.639999999999</c:v>
                </c:pt>
                <c:pt idx="11">
                  <c:v>22563.360000000001</c:v>
                </c:pt>
                <c:pt idx="12">
                  <c:v>29171.88</c:v>
                </c:pt>
                <c:pt idx="13">
                  <c:v>32698.38</c:v>
                </c:pt>
                <c:pt idx="14">
                  <c:v>22044.3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53-49C9-BDDA-2566A8A3E72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38377807"/>
        <c:axId val="738368687"/>
      </c:barChart>
      <c:catAx>
        <c:axId val="738377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368687"/>
        <c:crosses val="autoZero"/>
        <c:auto val="1"/>
        <c:lblAlgn val="ctr"/>
        <c:lblOffset val="100"/>
        <c:noMultiLvlLbl val="0"/>
      </c:catAx>
      <c:valAx>
        <c:axId val="73836868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377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[NORTHWIND_EDA.xlsx]Q11!PivotTable34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ANOMALY DISTRIBUTION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'Q11'!$I$83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'Q11'!$H$84:$H$87</c:f>
              <c:strCache>
                <c:ptCount val="3"/>
                <c:pt idx="0">
                  <c:v>High Revenue Anomaly</c:v>
                </c:pt>
                <c:pt idx="1">
                  <c:v>Low Revenue Anomaly</c:v>
                </c:pt>
                <c:pt idx="2">
                  <c:v>Normal</c:v>
                </c:pt>
              </c:strCache>
            </c:strRef>
          </c:cat>
          <c:val>
            <c:numRef>
              <c:f>'Q11'!$I$84:$I$87</c:f>
              <c:numCache>
                <c:formatCode>General</c:formatCode>
                <c:ptCount val="3"/>
                <c:pt idx="0">
                  <c:v>471394.26999999996</c:v>
                </c:pt>
                <c:pt idx="1">
                  <c:v>134850.91</c:v>
                </c:pt>
                <c:pt idx="2">
                  <c:v>659547.93000000005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56-456A-9BF9-A448AD5A0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51494239"/>
        <c:axId val="751493279"/>
      </c:barChart>
      <c:catAx>
        <c:axId val="751494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493279"/>
        <c:crosses val="autoZero"/>
        <c:auto val="1"/>
        <c:lblAlgn val="ctr"/>
        <c:lblOffset val="100"/>
        <c:noMultiLvlLbl val="0"/>
      </c:catAx>
      <c:valAx>
        <c:axId val="75149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49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[NORTHWIND_EDA.xlsx]Q12!PivotTable36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Comparison of Average Product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'Q12'!$K$27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'Q12'!$J$28:$J$45</c:f>
              <c:strCache>
                <c:ptCount val="17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Japan</c:v>
                </c:pt>
                <c:pt idx="9">
                  <c:v>Netherlands</c:v>
                </c:pt>
                <c:pt idx="10">
                  <c:v>Norway</c:v>
                </c:pt>
                <c:pt idx="11">
                  <c:v>Singapore</c:v>
                </c:pt>
                <c:pt idx="12">
                  <c:v>Spain</c:v>
                </c:pt>
                <c:pt idx="13">
                  <c:v>Sweden</c:v>
                </c:pt>
                <c:pt idx="14">
                  <c:v>Sweden </c:v>
                </c:pt>
                <c:pt idx="15">
                  <c:v>UK</c:v>
                </c:pt>
                <c:pt idx="16">
                  <c:v>USA</c:v>
                </c:pt>
              </c:strCache>
            </c:strRef>
          </c:cat>
          <c:val>
            <c:numRef>
              <c:f>'Q12'!$K$28:$K$45</c:f>
              <c:numCache>
                <c:formatCode>General</c:formatCode>
                <c:ptCount val="17"/>
                <c:pt idx="0">
                  <c:v>33.83</c:v>
                </c:pt>
                <c:pt idx="1">
                  <c:v>4.5</c:v>
                </c:pt>
                <c:pt idx="2">
                  <c:v>27.31</c:v>
                </c:pt>
                <c:pt idx="3">
                  <c:v>10.75</c:v>
                </c:pt>
                <c:pt idx="4">
                  <c:v>18.079999999999998</c:v>
                </c:pt>
                <c:pt idx="5">
                  <c:v>76.75</c:v>
                </c:pt>
                <c:pt idx="6">
                  <c:v>37.6</c:v>
                </c:pt>
                <c:pt idx="7">
                  <c:v>27.36</c:v>
                </c:pt>
                <c:pt idx="8">
                  <c:v>30.46</c:v>
                </c:pt>
                <c:pt idx="9">
                  <c:v>11.13</c:v>
                </c:pt>
                <c:pt idx="10">
                  <c:v>20</c:v>
                </c:pt>
                <c:pt idx="11">
                  <c:v>26.48</c:v>
                </c:pt>
                <c:pt idx="12">
                  <c:v>29.5</c:v>
                </c:pt>
                <c:pt idx="13">
                  <c:v>20</c:v>
                </c:pt>
                <c:pt idx="14">
                  <c:v>15</c:v>
                </c:pt>
                <c:pt idx="15">
                  <c:v>22.81</c:v>
                </c:pt>
                <c:pt idx="16">
                  <c:v>20.87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74-43F1-B550-1C7BAD7A2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745483231"/>
        <c:axId val="745483711"/>
      </c:barChart>
      <c:catAx>
        <c:axId val="745483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83711"/>
        <c:crosses val="autoZero"/>
        <c:auto val="1"/>
        <c:lblAlgn val="ctr"/>
        <c:lblOffset val="100"/>
        <c:noMultiLvlLbl val="0"/>
      </c:catAx>
      <c:valAx>
        <c:axId val="745483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83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[NORTHWIND_EDA.xlsx]Q12!PivotTable38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cap="none" baseline="0"/>
              <a:t>Supplier Distribution Across Regions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'Q12'!$C$51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'Q12'!$B$52:$B$69</c:f>
              <c:strCache>
                <c:ptCount val="17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Japan</c:v>
                </c:pt>
                <c:pt idx="9">
                  <c:v>Netherlands</c:v>
                </c:pt>
                <c:pt idx="10">
                  <c:v>Norway</c:v>
                </c:pt>
                <c:pt idx="11">
                  <c:v>Singapore</c:v>
                </c:pt>
                <c:pt idx="12">
                  <c:v>Spain</c:v>
                </c:pt>
                <c:pt idx="13">
                  <c:v>Sweden</c:v>
                </c:pt>
                <c:pt idx="14">
                  <c:v>Sweden </c:v>
                </c:pt>
                <c:pt idx="15">
                  <c:v>UK</c:v>
                </c:pt>
                <c:pt idx="16">
                  <c:v>USA</c:v>
                </c:pt>
              </c:strCache>
            </c:strRef>
          </c:cat>
          <c:val>
            <c:numRef>
              <c:f>'Q12'!$C$52:$C$69</c:f>
              <c:numCache>
                <c:formatCode>General</c:formatCode>
                <c:ptCount val="17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7C-479D-B0BB-AD2E99122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1292420287"/>
        <c:axId val="1292420767"/>
      </c:barChart>
      <c:catAx>
        <c:axId val="129242028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420767"/>
        <c:crosses val="autoZero"/>
        <c:auto val="1"/>
        <c:lblAlgn val="ctr"/>
        <c:lblOffset val="100"/>
        <c:noMultiLvlLbl val="0"/>
      </c:catAx>
      <c:valAx>
        <c:axId val="129242076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420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[NORTHWIND_EDA.xlsx]Q13!PivotTable66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Supplier Distribution Across Product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'Q13'!$H$32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'Q13'!$G$33:$G$41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'Q13'!$H$33:$H$41</c:f>
              <c:numCache>
                <c:formatCode>General</c:formatCode>
                <c:ptCount val="8"/>
                <c:pt idx="0">
                  <c:v>12</c:v>
                </c:pt>
                <c:pt idx="1">
                  <c:v>12</c:v>
                </c:pt>
                <c:pt idx="2">
                  <c:v>13</c:v>
                </c:pt>
                <c:pt idx="3">
                  <c:v>10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83-41D2-8080-631E8E53C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32283071"/>
        <c:axId val="932282591"/>
      </c:barChart>
      <c:catAx>
        <c:axId val="93228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282591"/>
        <c:crosses val="autoZero"/>
        <c:auto val="1"/>
        <c:lblAlgn val="ctr"/>
        <c:lblOffset val="100"/>
        <c:noMultiLvlLbl val="0"/>
      </c:catAx>
      <c:valAx>
        <c:axId val="93228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28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[NORTHWIND_EDA.xlsx]Q14!PivotTable69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>
                    <a:lumMod val="95000"/>
                    <a:lumOff val="5000"/>
                  </a:schemeClr>
                </a:solidFill>
              </a:rPr>
              <a:t>Average Product Price by Category and Supplier Region</a:t>
            </a:r>
          </a:p>
        </c:rich>
      </c:tx>
      <c:overlay val="0"/>
      <c:spPr>
        <a:solidFill>
          <a:schemeClr val="accent2">
            <a:lumMod val="60000"/>
            <a:lumOff val="40000"/>
          </a:schemeClr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'Q14'!$J$29:$J$30</c:f>
              <c:strCache>
                <c:ptCount val="1"/>
                <c:pt idx="0">
                  <c:v>Beverages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'Q14'!$I$31:$I$48</c:f>
              <c:strCache>
                <c:ptCount val="17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Japan</c:v>
                </c:pt>
                <c:pt idx="9">
                  <c:v>Netherlands</c:v>
                </c:pt>
                <c:pt idx="10">
                  <c:v>Norway</c:v>
                </c:pt>
                <c:pt idx="11">
                  <c:v>Singapore</c:v>
                </c:pt>
                <c:pt idx="12">
                  <c:v>Spain</c:v>
                </c:pt>
                <c:pt idx="13">
                  <c:v>Sweden</c:v>
                </c:pt>
                <c:pt idx="14">
                  <c:v>Sweden </c:v>
                </c:pt>
                <c:pt idx="15">
                  <c:v>UK</c:v>
                </c:pt>
                <c:pt idx="16">
                  <c:v>USA</c:v>
                </c:pt>
              </c:strCache>
            </c:strRef>
          </c:cat>
          <c:val>
            <c:numRef>
              <c:f>'Q14'!$J$31:$J$48</c:f>
              <c:numCache>
                <c:formatCode>General</c:formatCode>
                <c:ptCount val="17"/>
                <c:pt idx="0">
                  <c:v>15</c:v>
                </c:pt>
                <c:pt idx="1">
                  <c:v>4.5</c:v>
                </c:pt>
                <c:pt idx="4">
                  <c:v>18</c:v>
                </c:pt>
                <c:pt idx="5">
                  <c:v>140.75</c:v>
                </c:pt>
                <c:pt idx="6">
                  <c:v>7.75</c:v>
                </c:pt>
                <c:pt idx="11">
                  <c:v>46</c:v>
                </c:pt>
                <c:pt idx="15">
                  <c:v>18.5</c:v>
                </c:pt>
                <c:pt idx="16">
                  <c:v>15.33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65-4E48-B3C4-07897198DEED}"/>
            </c:ext>
          </c:extLst>
        </c:ser>
        <c:ser>
          <c:idx val="1"/>
          <c:order val="1"/>
          <c:tx>
            <c:strRef>
              <c:f>'Q14'!$K$29:$K$30</c:f>
              <c:strCache>
                <c:ptCount val="1"/>
                <c:pt idx="0">
                  <c:v>Condiments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'Q14'!$I$31:$I$48</c:f>
              <c:strCache>
                <c:ptCount val="17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Japan</c:v>
                </c:pt>
                <c:pt idx="9">
                  <c:v>Netherlands</c:v>
                </c:pt>
                <c:pt idx="10">
                  <c:v>Norway</c:v>
                </c:pt>
                <c:pt idx="11">
                  <c:v>Singapore</c:v>
                </c:pt>
                <c:pt idx="12">
                  <c:v>Spain</c:v>
                </c:pt>
                <c:pt idx="13">
                  <c:v>Sweden</c:v>
                </c:pt>
                <c:pt idx="14">
                  <c:v>Sweden </c:v>
                </c:pt>
                <c:pt idx="15">
                  <c:v>UK</c:v>
                </c:pt>
                <c:pt idx="16">
                  <c:v>USA</c:v>
                </c:pt>
              </c:strCache>
            </c:strRef>
          </c:cat>
          <c:val>
            <c:numRef>
              <c:f>'Q14'!$K$31:$K$48</c:f>
              <c:numCache>
                <c:formatCode>General</c:formatCode>
                <c:ptCount val="17"/>
                <c:pt idx="0">
                  <c:v>43.9</c:v>
                </c:pt>
                <c:pt idx="2">
                  <c:v>28.5</c:v>
                </c:pt>
                <c:pt idx="6">
                  <c:v>13</c:v>
                </c:pt>
                <c:pt idx="8">
                  <c:v>15.5</c:v>
                </c:pt>
                <c:pt idx="11">
                  <c:v>19.45</c:v>
                </c:pt>
                <c:pt idx="15">
                  <c:v>10</c:v>
                </c:pt>
                <c:pt idx="16">
                  <c:v>24.4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65-4E48-B3C4-07897198DEED}"/>
            </c:ext>
          </c:extLst>
        </c:ser>
        <c:ser>
          <c:idx val="2"/>
          <c:order val="2"/>
          <c:tx>
            <c:strRef>
              <c:f>'Q14'!$L$29:$L$30</c:f>
              <c:strCache>
                <c:ptCount val="1"/>
                <c:pt idx="0">
                  <c:v>Confections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'Q14'!$I$31:$I$48</c:f>
              <c:strCache>
                <c:ptCount val="17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Japan</c:v>
                </c:pt>
                <c:pt idx="9">
                  <c:v>Netherlands</c:v>
                </c:pt>
                <c:pt idx="10">
                  <c:v>Norway</c:v>
                </c:pt>
                <c:pt idx="11">
                  <c:v>Singapore</c:v>
                </c:pt>
                <c:pt idx="12">
                  <c:v>Spain</c:v>
                </c:pt>
                <c:pt idx="13">
                  <c:v>Sweden</c:v>
                </c:pt>
                <c:pt idx="14">
                  <c:v>Sweden </c:v>
                </c:pt>
                <c:pt idx="15">
                  <c:v>UK</c:v>
                </c:pt>
                <c:pt idx="16">
                  <c:v>USA</c:v>
                </c:pt>
              </c:strCache>
            </c:strRef>
          </c:cat>
          <c:val>
            <c:numRef>
              <c:f>'Q14'!$L$31:$L$48</c:f>
              <c:numCache>
                <c:formatCode>General</c:formatCode>
                <c:ptCount val="17"/>
                <c:pt idx="0">
                  <c:v>17.45</c:v>
                </c:pt>
                <c:pt idx="2">
                  <c:v>49.3</c:v>
                </c:pt>
                <c:pt idx="4">
                  <c:v>18.13</c:v>
                </c:pt>
                <c:pt idx="6">
                  <c:v>29.71</c:v>
                </c:pt>
                <c:pt idx="9">
                  <c:v>11.13</c:v>
                </c:pt>
                <c:pt idx="15">
                  <c:v>28.18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65-4E48-B3C4-07897198DEED}"/>
            </c:ext>
          </c:extLst>
        </c:ser>
        <c:ser>
          <c:idx val="3"/>
          <c:order val="3"/>
          <c:tx>
            <c:strRef>
              <c:f>'Q14'!$M$29:$M$30</c:f>
              <c:strCache>
                <c:ptCount val="1"/>
                <c:pt idx="0">
                  <c:v>Dairy Products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'Q14'!$I$31:$I$48</c:f>
              <c:strCache>
                <c:ptCount val="17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Japan</c:v>
                </c:pt>
                <c:pt idx="9">
                  <c:v>Netherlands</c:v>
                </c:pt>
                <c:pt idx="10">
                  <c:v>Norway</c:v>
                </c:pt>
                <c:pt idx="11">
                  <c:v>Singapore</c:v>
                </c:pt>
                <c:pt idx="12">
                  <c:v>Spain</c:v>
                </c:pt>
                <c:pt idx="13">
                  <c:v>Sweden</c:v>
                </c:pt>
                <c:pt idx="14">
                  <c:v>Sweden </c:v>
                </c:pt>
                <c:pt idx="15">
                  <c:v>UK</c:v>
                </c:pt>
                <c:pt idx="16">
                  <c:v>USA</c:v>
                </c:pt>
              </c:strCache>
            </c:strRef>
          </c:cat>
          <c:val>
            <c:numRef>
              <c:f>'Q14'!$M$31:$M$48</c:f>
              <c:numCache>
                <c:formatCode>General</c:formatCode>
                <c:ptCount val="17"/>
                <c:pt idx="5">
                  <c:v>44.5</c:v>
                </c:pt>
                <c:pt idx="7">
                  <c:v>26.43</c:v>
                </c:pt>
                <c:pt idx="10">
                  <c:v>20</c:v>
                </c:pt>
                <c:pt idx="12">
                  <c:v>29.5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65-4E48-B3C4-07897198DEED}"/>
            </c:ext>
          </c:extLst>
        </c:ser>
        <c:ser>
          <c:idx val="4"/>
          <c:order val="4"/>
          <c:tx>
            <c:strRef>
              <c:f>'Q14'!$N$29:$N$30</c:f>
              <c:strCache>
                <c:ptCount val="1"/>
                <c:pt idx="0">
                  <c:v>Grains/Cereals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'Q14'!$I$31:$I$48</c:f>
              <c:strCache>
                <c:ptCount val="17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Japan</c:v>
                </c:pt>
                <c:pt idx="9">
                  <c:v>Netherlands</c:v>
                </c:pt>
                <c:pt idx="10">
                  <c:v>Norway</c:v>
                </c:pt>
                <c:pt idx="11">
                  <c:v>Singapore</c:v>
                </c:pt>
                <c:pt idx="12">
                  <c:v>Spain</c:v>
                </c:pt>
                <c:pt idx="13">
                  <c:v>Sweden</c:v>
                </c:pt>
                <c:pt idx="14">
                  <c:v>Sweden </c:v>
                </c:pt>
                <c:pt idx="15">
                  <c:v>UK</c:v>
                </c:pt>
                <c:pt idx="16">
                  <c:v>USA</c:v>
                </c:pt>
              </c:strCache>
            </c:strRef>
          </c:cat>
          <c:val>
            <c:numRef>
              <c:f>'Q14'!$N$31:$N$48</c:f>
              <c:numCache>
                <c:formatCode>General</c:formatCode>
                <c:ptCount val="17"/>
                <c:pt idx="0">
                  <c:v>7</c:v>
                </c:pt>
                <c:pt idx="6">
                  <c:v>33.25</c:v>
                </c:pt>
                <c:pt idx="7">
                  <c:v>28.75</c:v>
                </c:pt>
                <c:pt idx="11">
                  <c:v>14</c:v>
                </c:pt>
                <c:pt idx="1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65-4E48-B3C4-07897198DEED}"/>
            </c:ext>
          </c:extLst>
        </c:ser>
        <c:ser>
          <c:idx val="5"/>
          <c:order val="5"/>
          <c:tx>
            <c:strRef>
              <c:f>'Q14'!$O$29:$O$30</c:f>
              <c:strCache>
                <c:ptCount val="1"/>
                <c:pt idx="0">
                  <c:v>Meat/Poultry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'Q14'!$I$31:$I$48</c:f>
              <c:strCache>
                <c:ptCount val="17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Japan</c:v>
                </c:pt>
                <c:pt idx="9">
                  <c:v>Netherlands</c:v>
                </c:pt>
                <c:pt idx="10">
                  <c:v>Norway</c:v>
                </c:pt>
                <c:pt idx="11">
                  <c:v>Singapore</c:v>
                </c:pt>
                <c:pt idx="12">
                  <c:v>Spain</c:v>
                </c:pt>
                <c:pt idx="13">
                  <c:v>Sweden</c:v>
                </c:pt>
                <c:pt idx="14">
                  <c:v>Sweden </c:v>
                </c:pt>
                <c:pt idx="15">
                  <c:v>UK</c:v>
                </c:pt>
                <c:pt idx="16">
                  <c:v>USA</c:v>
                </c:pt>
              </c:strCache>
            </c:strRef>
          </c:cat>
          <c:val>
            <c:numRef>
              <c:f>'Q14'!$O$31:$O$48</c:f>
              <c:numCache>
                <c:formatCode>General</c:formatCode>
                <c:ptCount val="17"/>
                <c:pt idx="0">
                  <c:v>35.9</c:v>
                </c:pt>
                <c:pt idx="2">
                  <c:v>15.73</c:v>
                </c:pt>
                <c:pt idx="6">
                  <c:v>123.79</c:v>
                </c:pt>
                <c:pt idx="8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D65-4E48-B3C4-07897198DEED}"/>
            </c:ext>
          </c:extLst>
        </c:ser>
        <c:ser>
          <c:idx val="6"/>
          <c:order val="6"/>
          <c:tx>
            <c:strRef>
              <c:f>'Q14'!$P$29:$P$30</c:f>
              <c:strCache>
                <c:ptCount val="1"/>
                <c:pt idx="0">
                  <c:v>Produce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'Q14'!$I$31:$I$48</c:f>
              <c:strCache>
                <c:ptCount val="17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Japan</c:v>
                </c:pt>
                <c:pt idx="9">
                  <c:v>Netherlands</c:v>
                </c:pt>
                <c:pt idx="10">
                  <c:v>Norway</c:v>
                </c:pt>
                <c:pt idx="11">
                  <c:v>Singapore</c:v>
                </c:pt>
                <c:pt idx="12">
                  <c:v>Spain</c:v>
                </c:pt>
                <c:pt idx="13">
                  <c:v>Sweden</c:v>
                </c:pt>
                <c:pt idx="14">
                  <c:v>Sweden </c:v>
                </c:pt>
                <c:pt idx="15">
                  <c:v>UK</c:v>
                </c:pt>
                <c:pt idx="16">
                  <c:v>USA</c:v>
                </c:pt>
              </c:strCache>
            </c:strRef>
          </c:cat>
          <c:val>
            <c:numRef>
              <c:f>'Q14'!$P$31:$P$48</c:f>
              <c:numCache>
                <c:formatCode>General</c:formatCode>
                <c:ptCount val="17"/>
                <c:pt idx="0">
                  <c:v>53</c:v>
                </c:pt>
                <c:pt idx="6">
                  <c:v>45.6</c:v>
                </c:pt>
                <c:pt idx="8">
                  <c:v>16.63</c:v>
                </c:pt>
                <c:pt idx="1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D65-4E48-B3C4-07897198DEED}"/>
            </c:ext>
          </c:extLst>
        </c:ser>
        <c:ser>
          <c:idx val="7"/>
          <c:order val="7"/>
          <c:tx>
            <c:strRef>
              <c:f>'Q14'!$Q$29:$Q$30</c:f>
              <c:strCache>
                <c:ptCount val="1"/>
                <c:pt idx="0">
                  <c:v>Seafood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'Q14'!$I$31:$I$48</c:f>
              <c:strCache>
                <c:ptCount val="17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Japan</c:v>
                </c:pt>
                <c:pt idx="9">
                  <c:v>Netherlands</c:v>
                </c:pt>
                <c:pt idx="10">
                  <c:v>Norway</c:v>
                </c:pt>
                <c:pt idx="11">
                  <c:v>Singapore</c:v>
                </c:pt>
                <c:pt idx="12">
                  <c:v>Spain</c:v>
                </c:pt>
                <c:pt idx="13">
                  <c:v>Sweden</c:v>
                </c:pt>
                <c:pt idx="14">
                  <c:v>Sweden </c:v>
                </c:pt>
                <c:pt idx="15">
                  <c:v>UK</c:v>
                </c:pt>
                <c:pt idx="16">
                  <c:v>USA</c:v>
                </c:pt>
              </c:strCache>
            </c:strRef>
          </c:cat>
          <c:val>
            <c:numRef>
              <c:f>'Q14'!$Q$31:$Q$48</c:f>
              <c:numCache>
                <c:formatCode>General</c:formatCode>
                <c:ptCount val="17"/>
                <c:pt idx="0">
                  <c:v>62.5</c:v>
                </c:pt>
                <c:pt idx="3">
                  <c:v>10.75</c:v>
                </c:pt>
                <c:pt idx="5">
                  <c:v>13.25</c:v>
                </c:pt>
                <c:pt idx="6">
                  <c:v>25.89</c:v>
                </c:pt>
                <c:pt idx="8">
                  <c:v>18.5</c:v>
                </c:pt>
                <c:pt idx="13">
                  <c:v>20</c:v>
                </c:pt>
                <c:pt idx="16">
                  <c:v>14.03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D65-4E48-B3C4-07897198D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52170911"/>
        <c:axId val="1652164191"/>
      </c:barChart>
      <c:catAx>
        <c:axId val="1652170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164191"/>
        <c:crosses val="autoZero"/>
        <c:auto val="1"/>
        <c:lblAlgn val="ctr"/>
        <c:lblOffset val="100"/>
        <c:noMultiLvlLbl val="0"/>
      </c:catAx>
      <c:valAx>
        <c:axId val="165216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17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b="1"/>
              <a:t>Supplier Region and Category Pricing Analysis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treemap" uniqueId="{00000000-9C43-4707-A1C4-3746F41392F5}">
          <cx:tx>
            <cx:txData>
              <cx:f>_xlchart.v1.1</cx:f>
              <cx:v>avgprice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415">
  <cs:axisTitle>
    <cs:lnRef idx="0"/>
    <cs:fillRef idx="0"/>
    <cs:effectRef idx="0"/>
    <cs:fontRef idx="minor">
      <a:schemeClr val="lt1">
        <a:lumMod val="95000"/>
      </a:schemeClr>
    </cs:fontRef>
    <cs:spPr>
      <a:solidFill>
        <a:schemeClr val="bg1">
          <a:lumMod val="65000"/>
        </a:schemeClr>
      </a:solidFill>
      <a:ln>
        <a:solidFill>
          <a:schemeClr val="tx1"/>
        </a:solidFill>
      </a:ln>
    </cs:spPr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image" Target="../media/image4.png"/><Relationship Id="rId5" Type="http://schemas.openxmlformats.org/officeDocument/2006/relationships/image" Target="../media/image5.png"/><Relationship Id="rId4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image" Target="../media/image7.png"/><Relationship Id="rId4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image" Target="../media/image12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image" Target="../media/image14.png"/></Relationships>
</file>

<file path=xl/drawings/_rels/drawing14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5.xml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828675</xdr:colOff>
      <xdr:row>1</xdr:row>
      <xdr:rowOff>104775</xdr:rowOff>
    </xdr:from>
    <xdr:to>
      <xdr:col>10</xdr:col>
      <xdr:colOff>743907</xdr:colOff>
      <xdr:row>16</xdr:row>
      <xdr:rowOff>57542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45E9FE6-D431-2F50-946B-7350C15B5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2275" y="295275"/>
          <a:ext cx="6858957" cy="2810267"/>
        </a:xfrm>
        <a:prstGeom prst="rect">
          <a:avLst/>
        </a:prstGeom>
        <a:ln w="127000" cap="sq">
          <a:solidFill>
            <a:srgbClr val="00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</xdr:spPr>
    </xdr:pic>
    <xdr:clientData/>
  </xdr:twoCellAnchor>
  <xdr:twoCellAnchor>
    <xdr:from>
      <xdr:col>6</xdr:col>
      <xdr:colOff>304799</xdr:colOff>
      <xdr:row>18</xdr:row>
      <xdr:rowOff>214312</xdr:rowOff>
    </xdr:from>
    <xdr:to>
      <xdr:col>15</xdr:col>
      <xdr:colOff>47624</xdr:colOff>
      <xdr:row>44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F6F35B6-4595-4A47-217F-E75DEA6E4E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0</xdr:row>
      <xdr:rowOff>161926</xdr:rowOff>
    </xdr:from>
    <xdr:to>
      <xdr:col>8</xdr:col>
      <xdr:colOff>228600</xdr:colOff>
      <xdr:row>21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FE877F-FC77-08E5-C892-561DE91DE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0" y="161926"/>
          <a:ext cx="7677150" cy="3838574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>
    <xdr:from>
      <xdr:col>6</xdr:col>
      <xdr:colOff>762000</xdr:colOff>
      <xdr:row>41</xdr:row>
      <xdr:rowOff>128587</xdr:rowOff>
    </xdr:from>
    <xdr:to>
      <xdr:col>10</xdr:col>
      <xdr:colOff>352425</xdr:colOff>
      <xdr:row>64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656EE11-F867-0639-D6E4-F9E216916E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704850</xdr:colOff>
      <xdr:row>90</xdr:row>
      <xdr:rowOff>161925</xdr:rowOff>
    </xdr:from>
    <xdr:to>
      <xdr:col>11</xdr:col>
      <xdr:colOff>104775</xdr:colOff>
      <xdr:row>108</xdr:row>
      <xdr:rowOff>28575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E8785B9-B701-A202-786E-B9164DFF24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1019175</xdr:colOff>
      <xdr:row>1</xdr:row>
      <xdr:rowOff>19050</xdr:rowOff>
    </xdr:from>
    <xdr:to>
      <xdr:col>9</xdr:col>
      <xdr:colOff>1401486</xdr:colOff>
      <xdr:row>27</xdr:row>
      <xdr:rowOff>38794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D1E899-5928-BC1C-4EBC-EA4EC5C9C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3575" y="209550"/>
          <a:ext cx="9392961" cy="4972744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>
    <xdr:from>
      <xdr:col>6</xdr:col>
      <xdr:colOff>485774</xdr:colOff>
      <xdr:row>41</xdr:row>
      <xdr:rowOff>52387</xdr:rowOff>
    </xdr:from>
    <xdr:to>
      <xdr:col>15</xdr:col>
      <xdr:colOff>581025</xdr:colOff>
      <xdr:row>60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DEDB60-6B58-BB0F-5F9B-CD60CDDC2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57149</xdr:colOff>
      <xdr:row>74</xdr:row>
      <xdr:rowOff>119061</xdr:rowOff>
    </xdr:from>
    <xdr:to>
      <xdr:col>16</xdr:col>
      <xdr:colOff>57150</xdr:colOff>
      <xdr:row>98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6C301FB-7DFB-6C48-03D8-A8881F55D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219075</xdr:colOff>
      <xdr:row>0</xdr:row>
      <xdr:rowOff>180975</xdr:rowOff>
    </xdr:from>
    <xdr:to>
      <xdr:col>8</xdr:col>
      <xdr:colOff>1628775</xdr:colOff>
      <xdr:row>18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88A2D6-BB17-01E8-EFBB-FF06AE91C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80975"/>
          <a:ext cx="7324725" cy="3257550"/>
        </a:xfrm>
        <a:prstGeom prst="rect">
          <a:avLst/>
        </a:prstGeom>
        <a:ln w="2286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>
    <xdr:from>
      <xdr:col>5</xdr:col>
      <xdr:colOff>600074</xdr:colOff>
      <xdr:row>35</xdr:row>
      <xdr:rowOff>157161</xdr:rowOff>
    </xdr:from>
    <xdr:to>
      <xdr:col>9</xdr:col>
      <xdr:colOff>1466849</xdr:colOff>
      <xdr:row>52</xdr:row>
      <xdr:rowOff>180974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27BBD66-5DC8-A326-4066-65A9066567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295274</xdr:colOff>
      <xdr:row>71</xdr:row>
      <xdr:rowOff>23812</xdr:rowOff>
    </xdr:from>
    <xdr:to>
      <xdr:col>9</xdr:col>
      <xdr:colOff>1752599</xdr:colOff>
      <xdr:row>87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B6D5090-4DD7-567E-AD7B-6CE3587953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314325</xdr:colOff>
      <xdr:row>88</xdr:row>
      <xdr:rowOff>66675</xdr:rowOff>
    </xdr:from>
    <xdr:to>
      <xdr:col>9</xdr:col>
      <xdr:colOff>1771650</xdr:colOff>
      <xdr:row>102</xdr:row>
      <xdr:rowOff>19050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1D2C43E-F17F-4913-B98E-020A7E1881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276225</xdr:colOff>
      <xdr:row>115</xdr:row>
      <xdr:rowOff>142875</xdr:rowOff>
    </xdr:from>
    <xdr:to>
      <xdr:col>8</xdr:col>
      <xdr:colOff>1333500</xdr:colOff>
      <xdr:row>134</xdr:row>
      <xdr:rowOff>66675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F674125-6890-FC7C-E48B-0A2186A35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50" y="22126575"/>
          <a:ext cx="6972300" cy="3543300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771524</xdr:colOff>
      <xdr:row>1</xdr:row>
      <xdr:rowOff>47625</xdr:rowOff>
    </xdr:from>
    <xdr:to>
      <xdr:col>10</xdr:col>
      <xdr:colOff>533399</xdr:colOff>
      <xdr:row>28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24F45B-9257-1382-6713-1A52FB7B9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399" y="238125"/>
          <a:ext cx="7153275" cy="5219700"/>
        </a:xfrm>
        <a:prstGeom prst="rect">
          <a:avLst/>
        </a:prstGeom>
        <a:ln w="2286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>
    <xdr:from>
      <xdr:col>6</xdr:col>
      <xdr:colOff>628650</xdr:colOff>
      <xdr:row>39</xdr:row>
      <xdr:rowOff>176212</xdr:rowOff>
    </xdr:from>
    <xdr:to>
      <xdr:col>14</xdr:col>
      <xdr:colOff>200025</xdr:colOff>
      <xdr:row>56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B4F94D-C8C9-71C1-C346-41A96FA042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180975</xdr:colOff>
      <xdr:row>50</xdr:row>
      <xdr:rowOff>147637</xdr:rowOff>
    </xdr:from>
    <xdr:to>
      <xdr:col>4</xdr:col>
      <xdr:colOff>666750</xdr:colOff>
      <xdr:row>65</xdr:row>
      <xdr:rowOff>33337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6CFDAE1-0A48-7A56-12DA-42C187A53B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1</xdr:row>
      <xdr:rowOff>9524</xdr:rowOff>
    </xdr:from>
    <xdr:to>
      <xdr:col>5</xdr:col>
      <xdr:colOff>666750</xdr:colOff>
      <xdr:row>18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21B4F4-0460-1FB7-5508-4404EB562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200024"/>
          <a:ext cx="6019800" cy="3305175"/>
        </a:xfrm>
        <a:prstGeom prst="rect">
          <a:avLst/>
        </a:prstGeom>
        <a:ln w="127000" cap="sq">
          <a:solidFill>
            <a:srgbClr val="00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</xdr:spPr>
    </xdr:pic>
    <xdr:clientData/>
  </xdr:twoCellAnchor>
  <xdr:twoCellAnchor>
    <xdr:from>
      <xdr:col>9</xdr:col>
      <xdr:colOff>219075</xdr:colOff>
      <xdr:row>9</xdr:row>
      <xdr:rowOff>23812</xdr:rowOff>
    </xdr:from>
    <xdr:to>
      <xdr:col>14</xdr:col>
      <xdr:colOff>485776</xdr:colOff>
      <xdr:row>23</xdr:row>
      <xdr:rowOff>80962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F742D4B-F050-186F-D074-487C47DD21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466724</xdr:colOff>
      <xdr:row>34</xdr:row>
      <xdr:rowOff>80962</xdr:rowOff>
    </xdr:from>
    <xdr:to>
      <xdr:col>15</xdr:col>
      <xdr:colOff>276224</xdr:colOff>
      <xdr:row>50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71EC472-B3BE-A43A-69A1-FDA6561239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771524</xdr:colOff>
      <xdr:row>41</xdr:row>
      <xdr:rowOff>119062</xdr:rowOff>
    </xdr:from>
    <xdr:to>
      <xdr:col>6</xdr:col>
      <xdr:colOff>171449</xdr:colOff>
      <xdr:row>59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D873189-55F9-640B-CF41-80F36DECC9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495299</xdr:colOff>
      <xdr:row>0</xdr:row>
      <xdr:rowOff>171451</xdr:rowOff>
    </xdr:from>
    <xdr:to>
      <xdr:col>7</xdr:col>
      <xdr:colOff>1262370</xdr:colOff>
      <xdr:row>16</xdr:row>
      <xdr:rowOff>171451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5B690D-4E96-0922-8F80-3A22F1C2E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299" y="171451"/>
          <a:ext cx="7091671" cy="3048000"/>
        </a:xfrm>
        <a:prstGeom prst="rect">
          <a:avLst/>
        </a:prstGeom>
      </xdr:spPr>
    </xdr:pic>
    <xdr:clientData/>
  </xdr:twoCellAnchor>
  <xdr:twoCellAnchor>
    <xdr:from>
      <xdr:col>6</xdr:col>
      <xdr:colOff>171450</xdr:colOff>
      <xdr:row>26</xdr:row>
      <xdr:rowOff>100012</xdr:rowOff>
    </xdr:from>
    <xdr:to>
      <xdr:col>14</xdr:col>
      <xdr:colOff>123825</xdr:colOff>
      <xdr:row>41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C29EE4-55F3-904C-1562-57728C6905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40</xdr:row>
      <xdr:rowOff>147637</xdr:rowOff>
    </xdr:from>
    <xdr:to>
      <xdr:col>5</xdr:col>
      <xdr:colOff>466726</xdr:colOff>
      <xdr:row>55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645C8D0-2939-D340-AC40-C3D72B86B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438150</xdr:colOff>
      <xdr:row>0</xdr:row>
      <xdr:rowOff>171450</xdr:rowOff>
    </xdr:from>
    <xdr:to>
      <xdr:col>13</xdr:col>
      <xdr:colOff>54455</xdr:colOff>
      <xdr:row>16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E11EA6-776E-26D5-16BC-3086F7373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171450"/>
          <a:ext cx="8407880" cy="2952750"/>
        </a:xfrm>
        <a:prstGeom prst="rect">
          <a:avLst/>
        </a:prstGeom>
        <a:ln w="2286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>
    <xdr:from>
      <xdr:col>2</xdr:col>
      <xdr:colOff>695325</xdr:colOff>
      <xdr:row>28</xdr:row>
      <xdr:rowOff>4762</xdr:rowOff>
    </xdr:from>
    <xdr:to>
      <xdr:col>9</xdr:col>
      <xdr:colOff>647700</xdr:colOff>
      <xdr:row>44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D834F7-1D0F-D03C-5104-94C736D464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1</xdr:row>
      <xdr:rowOff>180975</xdr:rowOff>
    </xdr:from>
    <xdr:to>
      <xdr:col>10</xdr:col>
      <xdr:colOff>48561</xdr:colOff>
      <xdr:row>22</xdr:row>
      <xdr:rowOff>152954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E8FFA1-BCDE-31E2-ACDC-8A000DECF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1850" y="371475"/>
          <a:ext cx="6706536" cy="3972479"/>
        </a:xfrm>
        <a:prstGeom prst="rect">
          <a:avLst/>
        </a:prstGeom>
        <a:ln w="2286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>
    <xdr:from>
      <xdr:col>6</xdr:col>
      <xdr:colOff>600074</xdr:colOff>
      <xdr:row>26</xdr:row>
      <xdr:rowOff>271462</xdr:rowOff>
    </xdr:from>
    <xdr:to>
      <xdr:col>14</xdr:col>
      <xdr:colOff>323850</xdr:colOff>
      <xdr:row>46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034BD2E-3564-85E5-6C01-E00ABE61AC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609599</xdr:colOff>
      <xdr:row>68</xdr:row>
      <xdr:rowOff>157161</xdr:rowOff>
    </xdr:from>
    <xdr:to>
      <xdr:col>12</xdr:col>
      <xdr:colOff>514350</xdr:colOff>
      <xdr:row>90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41CB8CA-0355-3134-6221-288975AC38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276225</xdr:colOff>
      <xdr:row>1</xdr:row>
      <xdr:rowOff>19050</xdr:rowOff>
    </xdr:from>
    <xdr:to>
      <xdr:col>11</xdr:col>
      <xdr:colOff>323850</xdr:colOff>
      <xdr:row>24</xdr:row>
      <xdr:rowOff>105399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555E42-F12E-59B0-9FF2-8C1A2FEA8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209550"/>
          <a:ext cx="7010400" cy="4467849"/>
        </a:xfrm>
        <a:prstGeom prst="rect">
          <a:avLst/>
        </a:prstGeom>
        <a:ln w="2286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>
    <xdr:from>
      <xdr:col>5</xdr:col>
      <xdr:colOff>152401</xdr:colOff>
      <xdr:row>48</xdr:row>
      <xdr:rowOff>23811</xdr:rowOff>
    </xdr:from>
    <xdr:to>
      <xdr:col>18</xdr:col>
      <xdr:colOff>295275</xdr:colOff>
      <xdr:row>66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E4D34A-B377-8ED5-E48D-B8A1BBEA5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2</xdr:row>
      <xdr:rowOff>0</xdr:rowOff>
    </xdr:from>
    <xdr:to>
      <xdr:col>9</xdr:col>
      <xdr:colOff>1306145</xdr:colOff>
      <xdr:row>23</xdr:row>
      <xdr:rowOff>152980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5E176E-4F51-8BE6-073C-49F02BFE8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2150" y="381000"/>
          <a:ext cx="8745170" cy="4153480"/>
        </a:xfrm>
        <a:prstGeom prst="rect">
          <a:avLst/>
        </a:prstGeom>
        <a:ln w="2286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>
    <xdr:from>
      <xdr:col>6</xdr:col>
      <xdr:colOff>104774</xdr:colOff>
      <xdr:row>52</xdr:row>
      <xdr:rowOff>90487</xdr:rowOff>
    </xdr:from>
    <xdr:to>
      <xdr:col>13</xdr:col>
      <xdr:colOff>400049</xdr:colOff>
      <xdr:row>72</xdr:row>
      <xdr:rowOff>104775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6EC433B-7A77-0BD9-9404-5BF27E98D6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447674</xdr:colOff>
      <xdr:row>89</xdr:row>
      <xdr:rowOff>42862</xdr:rowOff>
    </xdr:from>
    <xdr:to>
      <xdr:col>11</xdr:col>
      <xdr:colOff>542924</xdr:colOff>
      <xdr:row>106</xdr:row>
      <xdr:rowOff>133350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B8A5742-AE42-4B72-406C-A8DFBDFA7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</xdr:row>
      <xdr:rowOff>47625</xdr:rowOff>
    </xdr:from>
    <xdr:to>
      <xdr:col>12</xdr:col>
      <xdr:colOff>323850</xdr:colOff>
      <xdr:row>20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07127C-C831-B8BB-2329-A57B68667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" y="238125"/>
          <a:ext cx="8801100" cy="3695700"/>
        </a:xfrm>
        <a:prstGeom prst="rect">
          <a:avLst/>
        </a:prstGeom>
        <a:ln w="2286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>
    <xdr:from>
      <xdr:col>6</xdr:col>
      <xdr:colOff>342900</xdr:colOff>
      <xdr:row>45</xdr:row>
      <xdr:rowOff>180975</xdr:rowOff>
    </xdr:from>
    <xdr:to>
      <xdr:col>15</xdr:col>
      <xdr:colOff>95250</xdr:colOff>
      <xdr:row>64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31CC130-8077-B32B-AD4E-A102E9DCAF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428624</xdr:colOff>
      <xdr:row>71</xdr:row>
      <xdr:rowOff>90486</xdr:rowOff>
    </xdr:from>
    <xdr:to>
      <xdr:col>7</xdr:col>
      <xdr:colOff>523874</xdr:colOff>
      <xdr:row>91</xdr:row>
      <xdr:rowOff>95249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03FDA95-059B-CFAE-0A43-BDB2FFD1D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895349</xdr:colOff>
      <xdr:row>1</xdr:row>
      <xdr:rowOff>38099</xdr:rowOff>
    </xdr:from>
    <xdr:to>
      <xdr:col>8</xdr:col>
      <xdr:colOff>455607</xdr:colOff>
      <xdr:row>20</xdr:row>
      <xdr:rowOff>9524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80CB66-AD7A-FC03-29DC-7B7FF5D6E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9" y="228599"/>
          <a:ext cx="7094533" cy="3590925"/>
        </a:xfrm>
        <a:prstGeom prst="rect">
          <a:avLst/>
        </a:prstGeom>
        <a:ln w="2286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>
    <xdr:from>
      <xdr:col>5</xdr:col>
      <xdr:colOff>28575</xdr:colOff>
      <xdr:row>42</xdr:row>
      <xdr:rowOff>142874</xdr:rowOff>
    </xdr:from>
    <xdr:to>
      <xdr:col>9</xdr:col>
      <xdr:colOff>1743075</xdr:colOff>
      <xdr:row>63</xdr:row>
      <xdr:rowOff>190499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8AFB910-CFE7-5D84-FC08-DAE4175B5C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609599</xdr:colOff>
      <xdr:row>1</xdr:row>
      <xdr:rowOff>0</xdr:rowOff>
    </xdr:from>
    <xdr:to>
      <xdr:col>12</xdr:col>
      <xdr:colOff>695324</xdr:colOff>
      <xdr:row>23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1BA114-7C24-3C3E-5E6A-BEF75BF6B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799" y="190500"/>
          <a:ext cx="8277225" cy="4286250"/>
        </a:xfrm>
        <a:prstGeom prst="rect">
          <a:avLst/>
        </a:prstGeom>
        <a:ln w="2286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>
    <xdr:from>
      <xdr:col>7</xdr:col>
      <xdr:colOff>600074</xdr:colOff>
      <xdr:row>50</xdr:row>
      <xdr:rowOff>23811</xdr:rowOff>
    </xdr:from>
    <xdr:to>
      <xdr:col>19</xdr:col>
      <xdr:colOff>9524</xdr:colOff>
      <xdr:row>72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312F392-F454-9893-5229-CAC4A35298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285749</xdr:colOff>
      <xdr:row>77</xdr:row>
      <xdr:rowOff>52386</xdr:rowOff>
    </xdr:from>
    <xdr:to>
      <xdr:col>14</xdr:col>
      <xdr:colOff>161925</xdr:colOff>
      <xdr:row>110</xdr:row>
      <xdr:rowOff>180975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5BC4D25E-D325-AA6C-5F30-032C309A70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5849" y="14816136"/>
              <a:ext cx="11010901" cy="64150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83.047560879633" createdVersion="8" refreshedVersion="8" minRefreshableVersion="3" recordCount="69" xr:uid="{E6F75109-C973-4BB1-8953-92B8BEB5BFD7}">
  <cacheSource type="worksheet">
    <worksheetSource name="OUTPUT2"/>
  </cacheSource>
  <cacheFields count="6">
    <cacheField name="Country" numFmtId="0">
      <sharedItems count="21">
        <s v="UK"/>
        <s v="Brazil"/>
        <s v="USA"/>
        <s v="Austria"/>
        <s v="Germany"/>
        <s v="Mexico"/>
        <s v="Sweden"/>
        <s v="Ireland"/>
        <s v="Venezuela"/>
        <s v="France"/>
        <s v="Argentina"/>
        <s v="Finland"/>
        <s v="Portugal"/>
        <s v="Canada"/>
        <s v="Denmark"/>
        <s v="Belgium"/>
        <s v="Italy"/>
        <s v="Switzerland"/>
        <s v="Spain"/>
        <s v="Poland"/>
        <s v="Norway"/>
      </sharedItems>
    </cacheField>
    <cacheField name="City" numFmtId="0">
      <sharedItems count="69">
        <s v="London"/>
        <s v="Rio de Janeiro"/>
        <s v="SÃ£o Paulo"/>
        <s v="Boise"/>
        <s v="Graz"/>
        <s v="Cunewalde"/>
        <s v="MÃ©xico D.F."/>
        <s v="BrÃ¤cke"/>
        <s v="LuleÃ¥"/>
        <s v="Cork"/>
        <s v="Albuquerque"/>
        <s v="San CristÃ³bal"/>
        <s v="Marseille"/>
        <s v="Buenos Aires"/>
        <s v="Frankfurt a.M. "/>
        <s v="MÃ¼nchen"/>
        <s v="Oulu"/>
        <s v="Toulouse"/>
        <s v="Lisboa"/>
        <s v="MontrÃ©al"/>
        <s v="Brandenburg"/>
        <s v="Seattle"/>
        <s v="Barquisimeto"/>
        <s v="Tsawassen"/>
        <s v="Portland"/>
        <s v="Ã…rhus"/>
        <s v="Strasbourg"/>
        <s v="I. de Margarita"/>
        <s v="Charleroi"/>
        <s v="Reggio Emilia"/>
        <s v="Bergamo"/>
        <s v="Lyon"/>
        <s v="Cowes"/>
        <s v="Resende"/>
        <s v="Anchorage"/>
        <s v="Salzburg"/>
        <s v="Stuttgart"/>
        <s v="KÃ¶ln"/>
        <s v="Lander"/>
        <s v="Eugene"/>
        <s v="Campinas"/>
        <s v="GenÃ¨ve"/>
        <s v="Sevilla"/>
        <s v="Bruxelles"/>
        <s v="Helsinki"/>
        <s v="Nantes"/>
        <s v="Madrid"/>
        <s v="KÃ¸benhavn"/>
        <s v="Mannheim"/>
        <s v="Bern"/>
        <s v="MÃ¼nster"/>
        <s v="Warszawa"/>
        <s v="Lille"/>
        <s v="Elgin"/>
        <s v="Reims"/>
        <s v="Berlin"/>
        <s v="Stavern"/>
        <s v="Leipzig"/>
        <s v="Barcelona"/>
        <s v="Versailles"/>
        <s v="San Francisco"/>
        <s v="Aachen"/>
        <s v="Torino"/>
        <s v="Kirkland"/>
        <s v="Paris"/>
        <s v="Vancouver"/>
        <s v="Butte"/>
        <s v="Walla Walla"/>
        <s v="Caracas"/>
      </sharedItems>
    </cacheField>
    <cacheField name="total_customers" numFmtId="0">
      <sharedItems containsSemiMixedTypes="0" containsString="0" containsNumber="1" containsInteger="1" minValue="1" maxValue="6"/>
    </cacheField>
    <cacheField name="total_orders" numFmtId="0">
      <sharedItems containsSemiMixedTypes="0" containsString="0" containsNumber="1" containsInteger="1" minValue="2" maxValue="40"/>
    </cacheField>
    <cacheField name="order_per_customer" numFmtId="0">
      <sharedItems containsSemiMixedTypes="0" containsString="0" containsNumber="1" containsInteger="1" minValue="2" maxValue="28"/>
    </cacheField>
    <cacheField name="revenue_per_customer" numFmtId="0">
      <sharedItems containsSemiMixedTypes="0" containsString="0" containsNumber="1" minValue="249.7" maxValue="103971.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83.099585300923" createdVersion="8" refreshedVersion="8" minRefreshableVersion="3" recordCount="89" xr:uid="{6B157DEB-B558-44DD-90B2-C4D6FDE1AE80}">
  <cacheSource type="worksheet">
    <worksheetSource name="OUTPUT3"/>
  </cacheSource>
  <cacheFields count="6">
    <cacheField name="CustomerID" numFmtId="0">
      <sharedItems/>
    </cacheField>
    <cacheField name="CompanyName" numFmtId="0">
      <sharedItems/>
    </cacheField>
    <cacheField name="Preferred_Category" numFmtId="0">
      <sharedItems count="8">
        <s v="Dairy Products"/>
        <s v="Beverages"/>
        <s v="Meat/Poultry"/>
        <s v="Seafood"/>
        <s v="Condiments"/>
        <s v="Confections"/>
        <s v="Produce"/>
        <s v="Grains/Cereals"/>
      </sharedItems>
    </cacheField>
    <cacheField name="order_count" numFmtId="0">
      <sharedItems containsSemiMixedTypes="0" containsString="0" containsNumber="1" containsInteger="1" minValue="1" maxValue="16"/>
    </cacheField>
    <cacheField name="total_spend" numFmtId="0">
      <sharedItems containsSemiMixedTypes="0" containsString="0" containsNumber="1" minValue="80" maxValue="36059.68"/>
    </cacheField>
    <cacheField name="customer_segment" numFmtId="0">
      <sharedItems count="4">
        <s v="Champion"/>
        <s v="Loyal Customer"/>
        <s v="Ocassional Customer"/>
        <s v="Big Spend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84.005239120372" createdVersion="8" refreshedVersion="8" minRefreshableVersion="3" recordCount="77" xr:uid="{0675FF4F-47AC-4935-9129-3DE42B5C782E}">
  <cacheSource type="worksheet">
    <worksheetSource name="OUTPUT4"/>
  </cacheSource>
  <cacheFields count="5">
    <cacheField name="ProductID" numFmtId="0">
      <sharedItems containsSemiMixedTypes="0" containsString="0" containsNumber="1" containsInteger="1" minValue="1" maxValue="77" count="77">
        <n v="38"/>
        <n v="29"/>
        <n v="59"/>
        <n v="62"/>
        <n v="60"/>
        <n v="56"/>
        <n v="51"/>
        <n v="17"/>
        <n v="18"/>
        <n v="28"/>
        <n v="72"/>
        <n v="43"/>
        <n v="20"/>
        <n v="7"/>
        <n v="69"/>
        <n v="64"/>
        <n v="10"/>
        <n v="53"/>
        <n v="26"/>
        <n v="71"/>
        <n v="40"/>
        <n v="55"/>
        <n v="16"/>
        <n v="63"/>
        <n v="2"/>
        <n v="76"/>
        <n v="27"/>
        <n v="31"/>
        <n v="61"/>
        <n v="65"/>
        <n v="35"/>
        <n v="36"/>
        <n v="30"/>
        <n v="11"/>
        <n v="1"/>
        <n v="8"/>
        <n v="39"/>
        <n v="12"/>
        <n v="70"/>
        <n v="44"/>
        <n v="49"/>
        <n v="21"/>
        <n v="77"/>
        <n v="41"/>
        <n v="68"/>
        <n v="42"/>
        <n v="4"/>
        <n v="32"/>
        <n v="75"/>
        <n v="14"/>
        <n v="57"/>
        <n v="9"/>
        <n v="22"/>
        <n v="6"/>
        <n v="34"/>
        <n v="46"/>
        <n v="19"/>
        <n v="58"/>
        <n v="5"/>
        <n v="13"/>
        <n v="54"/>
        <n v="24"/>
        <n v="23"/>
        <n v="45"/>
        <n v="73"/>
        <n v="47"/>
        <n v="25"/>
        <n v="66"/>
        <n v="50"/>
        <n v="52"/>
        <n v="3"/>
        <n v="37"/>
        <n v="74"/>
        <n v="67"/>
        <n v="15"/>
        <n v="33"/>
        <n v="48"/>
      </sharedItems>
    </cacheField>
    <cacheField name="product_wise_revenue" numFmtId="0">
      <sharedItems containsSemiMixedTypes="0" containsString="0" containsNumber="1" minValue="1368.71" maxValue="141396.73000000001"/>
    </cacheField>
    <cacheField name="total_revenue" numFmtId="0">
      <sharedItems containsSemiMixedTypes="0" containsString="0" containsNumber="1" minValue="1265793.04" maxValue="1265793.04"/>
    </cacheField>
    <cacheField name="contribution_percentage" numFmtId="0">
      <sharedItems containsSemiMixedTypes="0" containsString="0" containsNumber="1" minValue="0.11" maxValue="11.17"/>
    </cacheField>
    <cacheField name="Cumulative %" numFmtId="0">
      <sharedItems containsSemiMixedTypes="0" containsString="0" containsNumber="1" minValue="11.17" maxValue="99.94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84.042052083336" createdVersion="8" refreshedVersion="8" minRefreshableVersion="3" recordCount="4" xr:uid="{3F08424F-C59E-4CF8-8106-F9DD2D5A0C73}">
  <cacheSource type="worksheet">
    <worksheetSource name="OUTPUT5"/>
  </cacheSource>
  <cacheFields count="4">
    <cacheField name="cust_segmentation" numFmtId="0">
      <sharedItems count="4">
        <s v="Regular"/>
        <s v="Ocassional"/>
        <s v="Frequent"/>
        <s v="Very Frequent"/>
      </sharedItems>
    </cacheField>
    <cacheField name="Customer_count" numFmtId="0">
      <sharedItems containsSemiMixedTypes="0" containsString="0" containsNumber="1" containsInteger="1" minValue="3" maxValue="38"/>
    </cacheField>
    <cacheField name="avg_ord_per_cust" numFmtId="0">
      <sharedItems containsSemiMixedTypes="0" containsString="0" containsNumber="1" minValue="3.24" maxValue="27.33"/>
    </cacheField>
    <cacheField name="Total_Orders" numFmtId="0">
      <sharedItems containsSemiMixedTypes="0" containsString="0" containsNumber="1" containsInteger="1" minValue="68" maxValue="3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84.061943518522" createdVersion="8" refreshedVersion="8" minRefreshableVersion="3" recordCount="7" xr:uid="{68FD7244-1116-4F17-9EA0-BC6E9AC0058D}">
  <cacheSource type="worksheet">
    <worksheetSource name="OUTPUT6"/>
  </cacheSource>
  <cacheFields count="4">
    <cacheField name="country" numFmtId="0">
      <sharedItems/>
    </cacheField>
    <cacheField name="city" numFmtId="0">
      <sharedItems count="5">
        <s v="London"/>
        <s v="Kirkland"/>
        <s v="Tacoma"/>
        <s v="Redmond"/>
        <s v="Seattle"/>
      </sharedItems>
    </cacheField>
    <cacheField name="title" numFmtId="0">
      <sharedItems count="4">
        <s v="Sales Representative"/>
        <s v="Vice President_Sales"/>
        <s v="Sales Manager"/>
        <s v="Inside Sales Coordinator"/>
      </sharedItems>
    </cacheField>
    <cacheField name="employee_count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84.083944444443" createdVersion="8" refreshedVersion="8" minRefreshableVersion="3" recordCount="9" xr:uid="{56714880-737E-4BD7-A02A-44BA13A07B84}">
  <cacheSource type="worksheet">
    <worksheetSource name="OUTPUT7"/>
  </cacheSource>
  <cacheFields count="3">
    <cacheField name="employee_name" numFmtId="0">
      <sharedItems/>
    </cacheField>
    <cacheField name="title" numFmtId="0">
      <sharedItems count="4">
        <s v="Sales Representative"/>
        <s v="Vice President_Sales"/>
        <s v="Sales Manager"/>
        <s v="Inside Sales Coordinator"/>
      </sharedItems>
    </cacheField>
    <cacheField name="hire_year" numFmtId="0">
      <sharedItems containsSemiMixedTypes="0" containsString="0" containsNumber="1" containsInteger="1" minValue="1992" maxValue="1994" count="3">
        <n v="1992"/>
        <n v="1993"/>
        <n v="199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85.120211574074" createdVersion="8" refreshedVersion="8" minRefreshableVersion="3" recordCount="4" xr:uid="{EC5598AD-958B-4634-82F8-AB74AFF7B7F3}">
  <cacheSource type="worksheet">
    <worksheetSource name="OUTPUT8"/>
  </cacheSource>
  <cacheFields count="6">
    <cacheField name="title" numFmtId="0">
      <sharedItems count="4">
        <s v="Sales Representative"/>
        <s v="Inside Sales Coordinator"/>
        <s v="Vice President_Sales"/>
        <s v="Sales Manager"/>
      </sharedItems>
    </cacheField>
    <cacheField name="employeecount" numFmtId="0">
      <sharedItems containsSemiMixedTypes="0" containsString="0" containsNumber="1" containsInteger="1" minValue="1" maxValue="6"/>
    </cacheField>
    <cacheField name="mr_count" numFmtId="0">
      <sharedItems containsSemiMixedTypes="0" containsString="0" containsNumber="1" containsInteger="1" minValue="0" maxValue="2" count="3">
        <n v="2"/>
        <n v="0"/>
        <n v="1"/>
      </sharedItems>
    </cacheField>
    <cacheField name="ms_count" numFmtId="0">
      <sharedItems containsSemiMixedTypes="0" containsString="0" containsNumber="1" containsInteger="1" minValue="0" maxValue="3"/>
    </cacheField>
    <cacheField name="mrs_count" numFmtId="0">
      <sharedItems containsSemiMixedTypes="0" containsString="0" containsNumber="1" containsInteger="1" minValue="0" maxValue="1"/>
    </cacheField>
    <cacheField name="dr_count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85.148517592592" createdVersion="8" refreshedVersion="8" minRefreshableVersion="3" recordCount="77" xr:uid="{81C5E1B0-893D-4B20-87E9-22007C08644D}">
  <cacheSource type="worksheet">
    <worksheetSource name="OUTPUT9"/>
  </cacheSource>
  <cacheFields count="6">
    <cacheField name="productid" numFmtId="0">
      <sharedItems containsSemiMixedTypes="0" containsString="0" containsNumber="1" containsInteger="1" minValue="1" maxValue="77"/>
    </cacheField>
    <cacheField name="productname" numFmtId="0">
      <sharedItems count="77">
        <s v="Côte de Blaye"/>
        <s v="Thüringer Rostbratwurst"/>
        <s v="Raclette Courdavault"/>
        <s v="Tarte au sucre"/>
        <s v="Camembert Pierrot"/>
        <s v="Gnocchi di nonna Alice"/>
        <s v="Manjimup Dried Apples"/>
        <s v="Alice Mutton"/>
        <s v="Carnarvon Tigers"/>
        <s v="Rössle Sauerkraut"/>
        <s v="Mozzarella di Giovanni"/>
        <s v="Ipoh Coffee"/>
        <s v="Sir Rodney's Marmalade"/>
        <s v="Uncle Bob's Organic Dried Pears"/>
        <s v="Wimmers gute Semmelknödel"/>
        <s v="Gudbrandsdalsost"/>
        <s v="Ikura"/>
        <s v="Perth Pasties"/>
        <s v="Gumbär Gummibärchen"/>
        <s v="Fløtemysost"/>
        <s v="Boston Crab Meat"/>
        <s v="Pâté chinois"/>
        <s v="Pavlova"/>
        <s v="Vegie-spread"/>
        <s v="Chang"/>
        <s v="Lakkalikööri"/>
        <s v="Schoggi Schokolade"/>
        <s v="Gorgonzola Telino"/>
        <s v="Sirop d'érable"/>
        <s v="Louisiana Fiery Hot Pepper Sauce"/>
        <s v="Steeleye Stout"/>
        <s v="Inlagd Sill"/>
        <s v="Nord-Ost Matjeshering"/>
        <s v="Queso Cabrales"/>
        <s v="Chai"/>
        <s v="Northwoods Cranberry Sauce"/>
        <s v="Chartreuse verte"/>
        <s v="Queso Manchego La Pastora"/>
        <s v="Outback Lager"/>
        <s v="Gula Malacca"/>
        <s v="Maxilaku"/>
        <s v="Original Frankfurter grüne Soße"/>
        <s v="Sir Rodney's Scones"/>
        <s v="Scottish Longbreads"/>
        <s v="Jack's New England Clam Chowder"/>
        <s v="Singaporean Hokkien Fried Mee"/>
        <s v="Chef Anton's Cajun Seasoning"/>
        <s v="Mascarpone Fabioli"/>
        <s v="Rhönbräu Klosterbier"/>
        <s v="Tofu"/>
        <s v="Ravioli Angelo"/>
        <s v="Mishi Kobe Niku"/>
        <s v="Grandma's Boysenberry Spread"/>
        <s v="Gustaf's Knäckebröd"/>
        <s v="Sasquatch Ale"/>
        <s v="Spegesild"/>
        <s v="Escargots de Bourgogne"/>
        <s v="Teatime Chocolate Biscuits"/>
        <s v="Chef Anton's Gumbo Mix"/>
        <s v="Konbu"/>
        <s v="Tourtière"/>
        <s v="Tunnbröd"/>
        <s v="Guaraná Fantástica"/>
        <s v="Røgede sild"/>
        <s v="Röd Kaviar"/>
        <s v="Zaanse koeken"/>
        <s v="NuNuCa Nuß-Nougat-Creme"/>
        <s v="Valkoinen suklaa"/>
        <s v="Louisiana Hot Spiced Okra"/>
        <s v="Filo Mix"/>
        <s v="Aniseed Syrup"/>
        <s v="Gravad lax"/>
        <s v="Longlife Tofu"/>
        <s v="Laughing Lumberjack Lager"/>
        <s v="Genen Shouyu"/>
        <s v="Geitost"/>
        <s v="Chocolade"/>
      </sharedItems>
    </cacheField>
    <cacheField name="unitprice" numFmtId="0">
      <sharedItems containsSemiMixedTypes="0" containsString="0" containsNumber="1" minValue="2.5" maxValue="263.5"/>
    </cacheField>
    <cacheField name="unitsinstock" numFmtId="0">
      <sharedItems containsSemiMixedTypes="0" containsString="0" containsNumber="1" containsInteger="1" minValue="0" maxValue="125"/>
    </cacheField>
    <cacheField name="quantitysold" numFmtId="0">
      <sharedItems containsSemiMixedTypes="0" containsString="0" containsNumber="1" containsInteger="1" minValue="95" maxValue="1577"/>
    </cacheField>
    <cacheField name="revenue" numFmtId="0">
      <sharedItems containsSemiMixedTypes="0" containsString="0" containsNumber="1" minValue="1368.71" maxValue="141396.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88.071893865737" createdVersion="8" refreshedVersion="8" minRefreshableVersion="3" recordCount="775" xr:uid="{43810CD8-1890-48FD-805C-06CE21AEE71A}">
  <cacheSource type="worksheet">
    <worksheetSource name="OUTPUT10"/>
  </cacheSource>
  <cacheFields count="3">
    <cacheField name="productname" numFmtId="0">
      <sharedItems/>
    </cacheField>
    <cacheField name="order_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total_demand" numFmtId="0">
      <sharedItems containsSemiMixedTypes="0" containsString="0" containsNumber="1" containsInteger="1" minValue="1" maxValue="386" count="191">
        <n v="313"/>
        <n v="206"/>
        <n v="195"/>
        <n v="189"/>
        <n v="168"/>
        <n v="141"/>
        <n v="138"/>
        <n v="134"/>
        <n v="130"/>
        <n v="127"/>
        <n v="126"/>
        <n v="117"/>
        <n v="110"/>
        <n v="108"/>
        <n v="106"/>
        <n v="102"/>
        <n v="95"/>
        <n v="91"/>
        <n v="85"/>
        <n v="82"/>
        <n v="77"/>
        <n v="74"/>
        <n v="73"/>
        <n v="72"/>
        <n v="70"/>
        <n v="69"/>
        <n v="68"/>
        <n v="65"/>
        <n v="60"/>
        <n v="58"/>
        <n v="55"/>
        <n v="50"/>
        <n v="48"/>
        <n v="46"/>
        <n v="43"/>
        <n v="42"/>
        <n v="40"/>
        <n v="39"/>
        <n v="36"/>
        <n v="35"/>
        <n v="34"/>
        <n v="32"/>
        <n v="30"/>
        <n v="29"/>
        <n v="20"/>
        <n v="15"/>
        <n v="10"/>
        <n v="4"/>
        <n v="3"/>
        <n v="1"/>
        <n v="216"/>
        <n v="192"/>
        <n v="179"/>
        <n v="173"/>
        <n v="169"/>
        <n v="167"/>
        <n v="154"/>
        <n v="148"/>
        <n v="139"/>
        <n v="131"/>
        <n v="129"/>
        <n v="125"/>
        <n v="122"/>
        <n v="118"/>
        <n v="104"/>
        <n v="97"/>
        <n v="93"/>
        <n v="90"/>
        <n v="88"/>
        <n v="87"/>
        <n v="84"/>
        <n v="78"/>
        <n v="71"/>
        <n v="67"/>
        <n v="59"/>
        <n v="57"/>
        <n v="56"/>
        <n v="54"/>
        <n v="51"/>
        <n v="41"/>
        <n v="38"/>
        <n v="25"/>
        <n v="23"/>
        <n v="21"/>
        <n v="13"/>
        <n v="8"/>
        <n v="6"/>
        <n v="5"/>
        <n v="230"/>
        <n v="220"/>
        <n v="200"/>
        <n v="188"/>
        <n v="183"/>
        <n v="166"/>
        <n v="165"/>
        <n v="162"/>
        <n v="159"/>
        <n v="157"/>
        <n v="150"/>
        <n v="146"/>
        <n v="137"/>
        <n v="120"/>
        <n v="116"/>
        <n v="114"/>
        <n v="100"/>
        <n v="99"/>
        <n v="81"/>
        <n v="80"/>
        <n v="79"/>
        <n v="45"/>
        <n v="28"/>
        <n v="12"/>
        <n v="2"/>
        <n v="333"/>
        <n v="289"/>
        <n v="247"/>
        <n v="227"/>
        <n v="226"/>
        <n v="181"/>
        <n v="170"/>
        <n v="156"/>
        <n v="105"/>
        <n v="101"/>
        <n v="96"/>
        <n v="92"/>
        <n v="64"/>
        <n v="63"/>
        <n v="61"/>
        <n v="47"/>
        <n v="44"/>
        <n v="27"/>
        <n v="26"/>
        <n v="24"/>
        <n v="19"/>
        <n v="16"/>
        <n v="386"/>
        <n v="280"/>
        <n v="235"/>
        <n v="215"/>
        <n v="213"/>
        <n v="203"/>
        <n v="197"/>
        <n v="185"/>
        <n v="182"/>
        <n v="177"/>
        <n v="174"/>
        <n v="158"/>
        <n v="155"/>
        <n v="152"/>
        <n v="144"/>
        <n v="135"/>
        <n v="133"/>
        <n v="89"/>
        <n v="76"/>
        <n v="75"/>
        <n v="62"/>
        <n v="53"/>
        <n v="132"/>
        <n v="121"/>
        <n v="103"/>
        <n v="52"/>
        <n v="49"/>
        <n v="37"/>
        <n v="33"/>
        <n v="22"/>
        <n v="18"/>
        <n v="17"/>
        <n v="9"/>
        <n v="7"/>
        <n v="171"/>
        <n v="31"/>
        <n v="115"/>
        <n v="112"/>
        <n v="109"/>
        <n v="83"/>
        <n v="14"/>
        <n v="11"/>
        <n v="160"/>
        <n v="147"/>
        <n v="94"/>
        <n v="194"/>
        <n v="178"/>
        <n v="113"/>
        <n v="153"/>
        <n v="123"/>
        <n v="119"/>
        <n v="86"/>
        <n v="208"/>
        <n v="186"/>
        <n v="140"/>
        <n v="10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88.98044259259" createdVersion="8" refreshedVersion="8" minRefreshableVersion="3" recordCount="77" xr:uid="{C036A63A-54E0-4FCF-8A62-A2B98895B000}">
  <cacheSource type="worksheet">
    <worksheetSource name="OUTPUT11"/>
  </cacheSource>
  <cacheFields count="4">
    <cacheField name="productid" numFmtId="0">
      <sharedItems containsSemiMixedTypes="0" containsString="0" containsNumber="1" containsInteger="1" minValue="1" maxValue="77" count="77">
        <n v="48"/>
        <n v="33"/>
        <n v="15"/>
        <n v="67"/>
        <n v="74"/>
        <n v="37"/>
        <n v="3"/>
        <n v="52"/>
        <n v="66"/>
        <n v="50"/>
        <n v="25"/>
        <n v="47"/>
        <n v="73"/>
        <n v="45"/>
        <n v="24"/>
        <n v="23"/>
        <n v="54"/>
        <n v="13"/>
        <n v="5"/>
        <n v="19"/>
        <n v="58"/>
        <n v="46"/>
        <n v="34"/>
        <n v="22"/>
        <n v="6"/>
        <n v="9"/>
        <n v="57"/>
        <n v="14"/>
        <n v="75"/>
        <n v="32"/>
        <n v="4"/>
        <n v="42"/>
        <n v="41"/>
        <n v="68"/>
        <n v="21"/>
        <n v="77"/>
        <n v="49"/>
        <n v="44"/>
        <n v="70"/>
        <n v="12"/>
        <n v="39"/>
        <n v="8"/>
        <n v="1"/>
        <n v="11"/>
        <n v="30"/>
        <n v="36"/>
        <n v="35"/>
        <n v="65"/>
        <n v="61"/>
        <n v="31"/>
        <n v="27"/>
        <n v="76"/>
        <n v="2"/>
        <n v="63"/>
        <n v="16"/>
        <n v="55"/>
        <n v="40"/>
        <n v="71"/>
        <n v="26"/>
        <n v="53"/>
        <n v="10"/>
        <n v="69"/>
        <n v="64"/>
        <n v="7"/>
        <n v="20"/>
        <n v="43"/>
        <n v="72"/>
        <n v="28"/>
        <n v="18"/>
        <n v="17"/>
        <n v="51"/>
        <n v="56"/>
        <n v="60"/>
        <n v="62"/>
        <n v="59"/>
        <n v="29"/>
        <n v="38"/>
      </sharedItems>
    </cacheField>
    <cacheField name="productname" numFmtId="0">
      <sharedItems count="77">
        <s v="Chocolade"/>
        <s v="Geitost"/>
        <s v="Genen Shouyu"/>
        <s v="Laughing Lumberjack Lager"/>
        <s v="Longlife Tofu"/>
        <s v="Gravad lax"/>
        <s v="Aniseed Syrup"/>
        <s v="Filo Mix"/>
        <s v="Louisiana Hot Spiced Okra"/>
        <s v="Valkoinen suklaa"/>
        <s v="NuNuCa Nuß-Nougat-Creme"/>
        <s v="Zaanse koeken"/>
        <s v="Röd Kaviar"/>
        <s v="Røgede sild"/>
        <s v="Guaraná Fantástica"/>
        <s v="Tunnbröd"/>
        <s v="Tourtière"/>
        <s v="Konbu"/>
        <s v="Chef Anton's Gumbo Mix"/>
        <s v="Teatime Chocolate Biscuits"/>
        <s v="Escargots de Bourgogne"/>
        <s v="Spegesild"/>
        <s v="Sasquatch Ale"/>
        <s v="Gustaf's Knäckebröd"/>
        <s v="Grandma's Boysenberry Spread"/>
        <s v="Mishi Kobe Niku"/>
        <s v="Ravioli Angelo"/>
        <s v="Tofu"/>
        <s v="Rhönbräu Klosterbier"/>
        <s v="Mascarpone Fabioli"/>
        <s v="Chef Anton's Cajun Seasoning"/>
        <s v="Singaporean Hokkien Fried Mee"/>
        <s v="Jack's New England Clam Chowder"/>
        <s v="Scottish Longbreads"/>
        <s v="Sir Rodney's Scones"/>
        <s v="Original Frankfurter grüne Soße"/>
        <s v="Maxilaku"/>
        <s v="Gula Malacca"/>
        <s v="Outback Lager"/>
        <s v="Queso Manchego La Pastora"/>
        <s v="Chartreuse verte"/>
        <s v="Northwoods Cranberry Sauce"/>
        <s v="Chai"/>
        <s v="Queso Cabrales"/>
        <s v="Nord-Ost Matjeshering"/>
        <s v="Inlagd Sill"/>
        <s v="Steeleye Stout"/>
        <s v="Louisiana Fiery Hot Pepper Sauce"/>
        <s v="Sirop d'érable"/>
        <s v="Gorgonzola Telino"/>
        <s v="Schoggi Schokolade"/>
        <s v="Lakkalikööri"/>
        <s v="Chang"/>
        <s v="Vegie-spread"/>
        <s v="Pavlova"/>
        <s v="Pâté chinois"/>
        <s v="Boston Crab Meat"/>
        <s v="Fløtemysost"/>
        <s v="Gumbär Gummibärchen"/>
        <s v="Perth Pasties"/>
        <s v="Ikura"/>
        <s v="Gudbrandsdalsost"/>
        <s v="Wimmers gute Semmelknödel"/>
        <s v="Uncle Bob's Organic Dried Pears"/>
        <s v="Sir Rodney's Marmalade"/>
        <s v="Ipoh Coffee"/>
        <s v="Mozzarella di Giovanni"/>
        <s v="Rössle Sauerkraut"/>
        <s v="Carnarvon Tigers"/>
        <s v="Alice Mutton"/>
        <s v="Manjimup Dried Apples"/>
        <s v="Gnocchi di nonna Alice"/>
        <s v="Camembert Pierrot"/>
        <s v="Tarte au sucre"/>
        <s v="Raclette Courdavault"/>
        <s v="Thüringer Rostbratwurst"/>
        <s v="Côte de Blaye"/>
      </sharedItems>
    </cacheField>
    <cacheField name="revenue" numFmtId="0">
      <sharedItems containsSemiMixedTypes="0" containsString="0" containsNumber="1" minValue="1368.71" maxValue="141396.74" count="77">
        <n v="1368.71"/>
        <n v="1648.13"/>
        <n v="1784.83"/>
        <n v="2396.8000000000002"/>
        <n v="2432.5"/>
        <n v="2688.4"/>
        <n v="3044"/>
        <n v="3232.95"/>
        <n v="3383"/>
        <n v="3437.69"/>
        <n v="3704.4"/>
        <n v="3958.08"/>
        <n v="3997.2"/>
        <n v="4338.18"/>
        <n v="4504.37"/>
        <n v="4601.7"/>
        <n v="4728.24"/>
        <n v="4960.4399999999996"/>
        <n v="5347.2"/>
        <n v="5862.62"/>
        <n v="5881.68"/>
        <n v="5883"/>
        <n v="6350.4"/>
        <n v="7122.36"/>
        <n v="7137"/>
        <n v="7226.5"/>
        <n v="7661.55"/>
        <n v="7991.49"/>
        <n v="8177.49"/>
        <n v="8404.16"/>
        <n v="8567.9"/>
        <n v="8575"/>
        <n v="8680.35"/>
        <n v="8714"/>
        <n v="9104"/>
        <n v="9171.6299999999992"/>
        <n v="9244.6"/>
        <n v="9915.9500000000007"/>
        <n v="10672.65"/>
        <n v="12257.66"/>
        <n v="12294.54"/>
        <n v="12772"/>
        <n v="12788.1"/>
        <n v="12901.77"/>
        <n v="13424.2"/>
        <n v="13458.46"/>
        <n v="13644"/>
        <n v="13869.89"/>
        <n v="14352.6"/>
        <n v="14920.88"/>
        <n v="15099.88"/>
        <n v="15760.44"/>
        <n v="16355.96"/>
        <n v="16701.099999999999"/>
        <n v="17215.78"/>
        <n v="17426.400000000001"/>
        <n v="17910.63"/>
        <n v="19551.03"/>
        <n v="19849.14"/>
        <n v="20574.169999999998"/>
        <n v="20867.34"/>
        <n v="21942.36"/>
        <n v="21957.97"/>
        <n v="22044.3"/>
        <n v="22563.360000000001"/>
        <n v="23526.7"/>
        <n v="24900.13"/>
        <n v="25696.639999999999"/>
        <n v="29171.88"/>
        <n v="32698.38"/>
        <n v="41819.65"/>
        <n v="42593.06"/>
        <n v="46825.48"/>
        <n v="47234.97"/>
        <n v="71155.7"/>
        <n v="80368.67"/>
        <n v="141396.74"/>
      </sharedItems>
    </cacheField>
    <cacheField name="performanceflag" numFmtId="0">
      <sharedItems count="3">
        <s v="Low Revenue Anomaly"/>
        <s v="Normal"/>
        <s v="High Revenue Anomal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88.991361805558" createdVersion="8" refreshedVersion="8" minRefreshableVersion="3" recordCount="17" xr:uid="{031FCA33-6508-44D7-9575-AF4F42D5FF74}">
  <cacheSource type="worksheet">
    <worksheetSource name="OUTPUT12"/>
  </cacheSource>
  <cacheFields count="6">
    <cacheField name="country" numFmtId="0">
      <sharedItems count="17">
        <s v="France"/>
        <s v="Germany"/>
        <s v="Australia"/>
        <s v="Japan"/>
        <s v="Spain"/>
        <s v="Italy"/>
        <s v="Canada"/>
        <s v="Singapore"/>
        <s v="UK"/>
        <s v="USA"/>
        <s v="Norway"/>
        <s v="Sweden"/>
        <s v="Finland"/>
        <s v="Sweden "/>
        <s v="Netherlands"/>
        <s v="Denmark"/>
        <s v="Brazil"/>
      </sharedItems>
    </cacheField>
    <cacheField name="totalsuppliers" numFmtId="0">
      <sharedItems containsSemiMixedTypes="0" containsString="0" containsNumber="1" containsInteger="1" minValue="1" maxValue="4"/>
    </cacheField>
    <cacheField name="totalproducts" numFmtId="0">
      <sharedItems containsSemiMixedTypes="0" containsString="0" containsNumber="1" containsInteger="1" minValue="1" maxValue="12"/>
    </cacheField>
    <cacheField name="avgproductprice" numFmtId="0">
      <sharedItems containsSemiMixedTypes="0" containsString="0" containsNumber="1" minValue="4.5" maxValue="76.75"/>
    </cacheField>
    <cacheField name="maxprice" numFmtId="0">
      <sharedItems containsSemiMixedTypes="0" containsString="0" containsNumber="1" minValue="4.5" maxValue="263.5"/>
    </cacheField>
    <cacheField name="minprice" numFmtId="0">
      <sharedItems containsSemiMixedTypes="0" containsString="0" containsNumber="1" minValue="2.5" maxValue="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89.010947569448" createdVersion="8" refreshedVersion="8" minRefreshableVersion="3" recordCount="49" xr:uid="{2A9FA273-6DD1-4D3A-96EC-A4EF529E97F9}">
  <cacheSource type="worksheet">
    <worksheetSource name="OUTPUT13"/>
  </cacheSource>
  <cacheFields count="3">
    <cacheField name="categoryname" numFmtId="0">
      <sharedItems count="8">
        <s v="Condiments"/>
        <s v="Confections"/>
        <s v="Seafood"/>
        <s v="Beverages"/>
        <s v="Dairy Products"/>
        <s v="Grains/Cereals"/>
        <s v="Meat/Poultry"/>
        <s v="Produce"/>
      </sharedItems>
    </cacheField>
    <cacheField name="companyname" numFmtId="0">
      <sharedItems count="29">
        <s v="New Orleans Cajun Delights"/>
        <s v="Specialty Biscuits, Ltd."/>
        <s v="Heli Süßwaren GmbH &amp; Co. KG"/>
        <s v="Svensk Sjöföda AB"/>
        <s v="Bigfoot Breweries"/>
        <s v="Norske Meierier"/>
        <s v="Formaggi Fortini s.r.l."/>
        <s v="Lyngbysild"/>
        <s v="Exotic Liquids"/>
        <s v="New England Seafood Cannery"/>
        <s v="Pasta Buttini s.r.l."/>
        <s v="PB Knäckebröd AB"/>
        <s v="Aux joyeux ecclésiastiques"/>
        <s v="Ma Maison"/>
        <s v="Karkki Oy"/>
        <s v="Zaanse Snoepfabriek"/>
        <s v="Cooperativa de Quesos 'Las Cabras'"/>
        <s v="Gai pâturage"/>
        <s v="Grandma Kelly's Homestead"/>
        <s v="Plutzer Lebensmittelgroßmärkte AG"/>
        <s v="Tokyo Traders"/>
        <s v="G'day, Mate"/>
        <s v="Mayumi's"/>
        <s v="Escargots Nouveaux"/>
        <s v="Nord-Ost-Fisch Handelsgesellschaft mbH"/>
        <s v="Pavlova, Ltd."/>
        <s v="Leka Trading"/>
        <s v="Refrescos Americanas LTDA"/>
        <s v="Forêts d'érables"/>
      </sharedItems>
    </cacheField>
    <cacheField name="product_supplied" numFmtId="0">
      <sharedItems containsSemiMixedTypes="0" containsString="0" containsNumber="1" containsInteger="1" minValue="1" maxValue="4" count="4">
        <n v="4"/>
        <n v="3"/>
        <n v="2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89.021179745374" createdVersion="8" refreshedVersion="8" minRefreshableVersion="3" recordCount="45" xr:uid="{0AC67CF2-A665-4E46-90DD-78150CFACB77}">
  <cacheSource type="worksheet">
    <worksheetSource name="OUTPUT14"/>
  </cacheSource>
  <cacheFields count="6">
    <cacheField name="country" numFmtId="0">
      <sharedItems count="17">
        <s v="France"/>
        <s v="Germany"/>
        <s v="Japan"/>
        <s v="Australia"/>
        <s v="Canada"/>
        <s v="Singapore"/>
        <s v="USA"/>
        <s v="Spain"/>
        <s v="Italy"/>
        <s v="UK"/>
        <s v="Norway"/>
        <s v="Sweden"/>
        <s v="Finland"/>
        <s v="Sweden "/>
        <s v="Netherlands"/>
        <s v="Denmark"/>
        <s v="Brazil"/>
      </sharedItems>
    </cacheField>
    <cacheField name="categoryname" numFmtId="0">
      <sharedItems count="8">
        <s v="Beverages"/>
        <s v="Meat/Poultry"/>
        <s v="Seafood"/>
        <s v="Produce"/>
        <s v="Confections"/>
        <s v="Dairy Products"/>
        <s v="Condiments"/>
        <s v="Grains/Cereals"/>
      </sharedItems>
    </cacheField>
    <cacheField name="totalproducts" numFmtId="0">
      <sharedItems containsSemiMixedTypes="0" containsString="0" containsNumber="1" containsInteger="1" minValue="1" maxValue="6"/>
    </cacheField>
    <cacheField name="avgprice" numFmtId="0">
      <sharedItems containsSemiMixedTypes="0" containsString="0" containsNumber="1" minValue="4.5" maxValue="140.75"/>
    </cacheField>
    <cacheField name="maxprice" numFmtId="0">
      <sharedItems containsSemiMixedTypes="0" containsString="0" containsNumber="1" minValue="4.5" maxValue="263.5"/>
    </cacheField>
    <cacheField name="minprice" numFmtId="0">
      <sharedItems containsSemiMixedTypes="0" containsString="0" containsNumber="1" minValue="2.5" maxValue="123.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x v="0"/>
    <x v="0"/>
    <n v="6"/>
    <n v="40"/>
    <n v="7"/>
    <n v="7377.3"/>
  </r>
  <r>
    <x v="1"/>
    <x v="1"/>
    <n v="3"/>
    <n v="31"/>
    <n v="10"/>
    <n v="15794.99"/>
  </r>
  <r>
    <x v="1"/>
    <x v="2"/>
    <n v="4"/>
    <n v="29"/>
    <n v="7"/>
    <n v="9513.41"/>
  </r>
  <r>
    <x v="2"/>
    <x v="3"/>
    <n v="1"/>
    <n v="28"/>
    <n v="28"/>
    <n v="85023"/>
  </r>
  <r>
    <x v="3"/>
    <x v="4"/>
    <n v="1"/>
    <n v="27"/>
    <n v="27"/>
    <n v="88226.08"/>
  </r>
  <r>
    <x v="4"/>
    <x v="5"/>
    <n v="1"/>
    <n v="27"/>
    <n v="27"/>
    <n v="103971.06"/>
  </r>
  <r>
    <x v="5"/>
    <x v="6"/>
    <n v="5"/>
    <n v="26"/>
    <n v="5"/>
    <n v="4584.42"/>
  </r>
  <r>
    <x v="6"/>
    <x v="7"/>
    <n v="1"/>
    <n v="18"/>
    <n v="18"/>
    <n v="28757.56"/>
  </r>
  <r>
    <x v="6"/>
    <x v="8"/>
    <n v="1"/>
    <n v="18"/>
    <n v="18"/>
    <n v="24927.58"/>
  </r>
  <r>
    <x v="7"/>
    <x v="9"/>
    <n v="1"/>
    <n v="18"/>
    <n v="18"/>
    <n v="48636.959999999999"/>
  </r>
  <r>
    <x v="2"/>
    <x v="10"/>
    <n v="1"/>
    <n v="17"/>
    <n v="17"/>
    <n v="49842.080000000002"/>
  </r>
  <r>
    <x v="8"/>
    <x v="11"/>
    <n v="1"/>
    <n v="17"/>
    <n v="17"/>
    <n v="21041.26"/>
  </r>
  <r>
    <x v="9"/>
    <x v="12"/>
    <n v="1"/>
    <n v="16"/>
    <n v="16"/>
    <n v="21170.5"/>
  </r>
  <r>
    <x v="10"/>
    <x v="13"/>
    <n v="3"/>
    <n v="14"/>
    <n v="5"/>
    <n v="2579.37"/>
  </r>
  <r>
    <x v="4"/>
    <x v="14"/>
    <n v="1"/>
    <n v="14"/>
    <n v="14"/>
    <n v="17631.439999999999"/>
  </r>
  <r>
    <x v="4"/>
    <x v="15"/>
    <n v="1"/>
    <n v="14"/>
    <n v="14"/>
    <n v="23831.26"/>
  </r>
  <r>
    <x v="11"/>
    <x v="16"/>
    <n v="1"/>
    <n v="14"/>
    <n v="14"/>
    <n v="15378.7"/>
  </r>
  <r>
    <x v="9"/>
    <x v="17"/>
    <n v="1"/>
    <n v="13"/>
    <n v="13"/>
    <n v="9292.2000000000007"/>
  </r>
  <r>
    <x v="12"/>
    <x v="18"/>
    <n v="2"/>
    <n v="13"/>
    <n v="7"/>
    <n v="5736.18"/>
  </r>
  <r>
    <x v="13"/>
    <x v="19"/>
    <n v="1"/>
    <n v="13"/>
    <n v="13"/>
    <n v="28872.19"/>
  </r>
  <r>
    <x v="4"/>
    <x v="20"/>
    <n v="1"/>
    <n v="13"/>
    <n v="13"/>
    <n v="28748.38"/>
  </r>
  <r>
    <x v="2"/>
    <x v="21"/>
    <n v="1"/>
    <n v="12"/>
    <n v="12"/>
    <n v="17532.36"/>
  </r>
  <r>
    <x v="8"/>
    <x v="22"/>
    <n v="1"/>
    <n v="12"/>
    <n v="12"/>
    <n v="15402.68"/>
  </r>
  <r>
    <x v="13"/>
    <x v="23"/>
    <n v="1"/>
    <n v="11"/>
    <n v="11"/>
    <n v="18089.38"/>
  </r>
  <r>
    <x v="2"/>
    <x v="24"/>
    <n v="2"/>
    <n v="11"/>
    <n v="6"/>
    <n v="3022.3"/>
  </r>
  <r>
    <x v="14"/>
    <x v="25"/>
    <n v="1"/>
    <n v="11"/>
    <n v="11"/>
    <n v="15843.92"/>
  </r>
  <r>
    <x v="9"/>
    <x v="26"/>
    <n v="1"/>
    <n v="11"/>
    <n v="11"/>
    <n v="18534.080000000002"/>
  </r>
  <r>
    <x v="8"/>
    <x v="27"/>
    <n v="1"/>
    <n v="10"/>
    <n v="10"/>
    <n v="13143.38"/>
  </r>
  <r>
    <x v="15"/>
    <x v="28"/>
    <n v="1"/>
    <n v="10"/>
    <n v="10"/>
    <n v="21601.68"/>
  </r>
  <r>
    <x v="16"/>
    <x v="29"/>
    <n v="1"/>
    <n v="10"/>
    <n v="10"/>
    <n v="5996.84"/>
  </r>
  <r>
    <x v="16"/>
    <x v="30"/>
    <n v="1"/>
    <n v="10"/>
    <n v="10"/>
    <n v="7176.22"/>
  </r>
  <r>
    <x v="9"/>
    <x v="31"/>
    <n v="1"/>
    <n v="10"/>
    <n v="10"/>
    <n v="9182.43"/>
  </r>
  <r>
    <x v="0"/>
    <x v="32"/>
    <n v="1"/>
    <n v="10"/>
    <n v="10"/>
    <n v="6146.3"/>
  </r>
  <r>
    <x v="1"/>
    <x v="33"/>
    <n v="1"/>
    <n v="9"/>
    <n v="9"/>
    <n v="6068.2"/>
  </r>
  <r>
    <x v="2"/>
    <x v="34"/>
    <n v="1"/>
    <n v="9"/>
    <n v="9"/>
    <n v="14638.06"/>
  </r>
  <r>
    <x v="3"/>
    <x v="35"/>
    <n v="1"/>
    <n v="9"/>
    <n v="9"/>
    <n v="20073.86"/>
  </r>
  <r>
    <x v="4"/>
    <x v="36"/>
    <n v="1"/>
    <n v="9"/>
    <n v="9"/>
    <n v="8102.62"/>
  </r>
  <r>
    <x v="4"/>
    <x v="37"/>
    <n v="1"/>
    <n v="9"/>
    <n v="9"/>
    <n v="11863.8"/>
  </r>
  <r>
    <x v="2"/>
    <x v="38"/>
    <n v="1"/>
    <n v="9"/>
    <n v="9"/>
    <n v="11441.63"/>
  </r>
  <r>
    <x v="2"/>
    <x v="39"/>
    <n v="1"/>
    <n v="9"/>
    <n v="9"/>
    <n v="17797.45"/>
  </r>
  <r>
    <x v="1"/>
    <x v="40"/>
    <n v="1"/>
    <n v="8"/>
    <n v="8"/>
    <n v="8140.54"/>
  </r>
  <r>
    <x v="17"/>
    <x v="41"/>
    <n v="1"/>
    <n v="8"/>
    <n v="8"/>
    <n v="15612.88"/>
  </r>
  <r>
    <x v="18"/>
    <x v="42"/>
    <n v="1"/>
    <n v="8"/>
    <n v="8"/>
    <n v="10769.86"/>
  </r>
  <r>
    <x v="15"/>
    <x v="43"/>
    <n v="1"/>
    <n v="7"/>
    <n v="7"/>
    <n v="9736.08"/>
  </r>
  <r>
    <x v="11"/>
    <x v="44"/>
    <n v="1"/>
    <n v="7"/>
    <n v="7"/>
    <n v="3161.35"/>
  </r>
  <r>
    <x v="9"/>
    <x v="45"/>
    <n v="2"/>
    <n v="7"/>
    <n v="4"/>
    <n v="2394.0300000000002"/>
  </r>
  <r>
    <x v="18"/>
    <x v="46"/>
    <n v="2"/>
    <n v="7"/>
    <n v="4"/>
    <n v="2669.57"/>
  </r>
  <r>
    <x v="14"/>
    <x v="47"/>
    <n v="1"/>
    <n v="6"/>
    <n v="6"/>
    <n v="16585.009999999998"/>
  </r>
  <r>
    <x v="4"/>
    <x v="48"/>
    <n v="1"/>
    <n v="6"/>
    <n v="6"/>
    <n v="2381.8000000000002"/>
  </r>
  <r>
    <x v="17"/>
    <x v="49"/>
    <n v="1"/>
    <n v="6"/>
    <n v="6"/>
    <n v="9289.08"/>
  </r>
  <r>
    <x v="4"/>
    <x v="50"/>
    <n v="1"/>
    <n v="6"/>
    <n v="6"/>
    <n v="4778.1400000000003"/>
  </r>
  <r>
    <x v="19"/>
    <x v="51"/>
    <n v="1"/>
    <n v="6"/>
    <n v="6"/>
    <n v="2940.35"/>
  </r>
  <r>
    <x v="9"/>
    <x v="52"/>
    <n v="1"/>
    <n v="5"/>
    <n v="5"/>
    <n v="11666.9"/>
  </r>
  <r>
    <x v="2"/>
    <x v="53"/>
    <n v="1"/>
    <n v="5"/>
    <n v="5"/>
    <n v="3063.2"/>
  </r>
  <r>
    <x v="9"/>
    <x v="54"/>
    <n v="1"/>
    <n v="5"/>
    <n v="5"/>
    <n v="1480"/>
  </r>
  <r>
    <x v="4"/>
    <x v="55"/>
    <n v="1"/>
    <n v="5"/>
    <n v="5"/>
    <n v="3339.5"/>
  </r>
  <r>
    <x v="20"/>
    <x v="56"/>
    <n v="1"/>
    <n v="5"/>
    <n v="5"/>
    <n v="5112.8"/>
  </r>
  <r>
    <x v="4"/>
    <x v="57"/>
    <n v="1"/>
    <n v="5"/>
    <n v="5"/>
    <n v="5042.2"/>
  </r>
  <r>
    <x v="18"/>
    <x v="58"/>
    <n v="1"/>
    <n v="5"/>
    <n v="5"/>
    <n v="836.7"/>
  </r>
  <r>
    <x v="9"/>
    <x v="59"/>
    <n v="1"/>
    <n v="4"/>
    <n v="4"/>
    <n v="1992.05"/>
  </r>
  <r>
    <x v="2"/>
    <x v="60"/>
    <n v="1"/>
    <n v="4"/>
    <n v="4"/>
    <n v="3076.47"/>
  </r>
  <r>
    <x v="4"/>
    <x v="61"/>
    <n v="1"/>
    <n v="4"/>
    <n v="4"/>
    <n v="1984.36"/>
  </r>
  <r>
    <x v="16"/>
    <x v="62"/>
    <n v="1"/>
    <n v="4"/>
    <n v="4"/>
    <n v="249.7"/>
  </r>
  <r>
    <x v="2"/>
    <x v="63"/>
    <n v="1"/>
    <n v="3"/>
    <n v="3"/>
    <n v="1571.2"/>
  </r>
  <r>
    <x v="9"/>
    <x v="64"/>
    <n v="1"/>
    <n v="3"/>
    <n v="3"/>
    <n v="2213.35"/>
  </r>
  <r>
    <x v="13"/>
    <x v="65"/>
    <n v="1"/>
    <n v="3"/>
    <n v="3"/>
    <n v="522.5"/>
  </r>
  <r>
    <x v="2"/>
    <x v="66"/>
    <n v="1"/>
    <n v="3"/>
    <n v="3"/>
    <n v="1947.24"/>
  </r>
  <r>
    <x v="2"/>
    <x v="67"/>
    <n v="1"/>
    <n v="2"/>
    <n v="2"/>
    <n v="357"/>
  </r>
  <r>
    <x v="8"/>
    <x v="68"/>
    <n v="1"/>
    <n v="2"/>
    <n v="2"/>
    <n v="1488.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ERNSH"/>
    <s v="Ernst Handel"/>
    <x v="0"/>
    <n v="16"/>
    <n v="17994.96"/>
    <x v="0"/>
  </r>
  <r>
    <s v="QUICK"/>
    <s v="QUICK-Stop"/>
    <x v="1"/>
    <n v="14"/>
    <n v="36059.68"/>
    <x v="0"/>
  </r>
  <r>
    <s v="BERGS"/>
    <s v="Berglunds snabbkÃ¶p"/>
    <x v="1"/>
    <n v="11"/>
    <n v="8298.68"/>
    <x v="0"/>
  </r>
  <r>
    <s v="SAVEA"/>
    <s v="Save-a-lot Markets"/>
    <x v="2"/>
    <n v="9"/>
    <n v="18561.53"/>
    <x v="0"/>
  </r>
  <r>
    <s v="BONAP"/>
    <s v="Bon app'"/>
    <x v="3"/>
    <n v="8"/>
    <n v="5368.58"/>
    <x v="0"/>
  </r>
  <r>
    <s v="HILAA"/>
    <s v="HILARIÃ“N-Abastos"/>
    <x v="0"/>
    <n v="8"/>
    <n v="7241.6"/>
    <x v="0"/>
  </r>
  <r>
    <s v="VAFFE"/>
    <s v="Vaffeljernet"/>
    <x v="4"/>
    <n v="7"/>
    <n v="3505.15"/>
    <x v="1"/>
  </r>
  <r>
    <s v="LILAS"/>
    <s v="LILA-Supermercado"/>
    <x v="0"/>
    <n v="7"/>
    <n v="7360.83"/>
    <x v="0"/>
  </r>
  <r>
    <s v="KOENE"/>
    <s v="KÃ¶niglich Essen"/>
    <x v="1"/>
    <n v="7"/>
    <n v="9455.1"/>
    <x v="0"/>
  </r>
  <r>
    <s v="RATTC"/>
    <s v="Rattlesnake Canyon Grocery"/>
    <x v="1"/>
    <n v="7"/>
    <n v="18778.150000000001"/>
    <x v="0"/>
  </r>
  <r>
    <s v="QUEEN"/>
    <s v="Queen Cozinha"/>
    <x v="1"/>
    <n v="7"/>
    <n v="9075.9"/>
    <x v="0"/>
  </r>
  <r>
    <s v="FRANK"/>
    <s v="Frankenversand"/>
    <x v="0"/>
    <n v="7"/>
    <n v="8163.8"/>
    <x v="0"/>
  </r>
  <r>
    <s v="WARTH"/>
    <s v="Wartian Herkku"/>
    <x v="0"/>
    <n v="7"/>
    <n v="4856.1099999999997"/>
    <x v="0"/>
  </r>
  <r>
    <s v="LINOD"/>
    <s v="LINO-Delicateses"/>
    <x v="3"/>
    <n v="6"/>
    <n v="3577.5"/>
    <x v="1"/>
  </r>
  <r>
    <s v="LEHMS"/>
    <s v="Lehmanns Marktstand"/>
    <x v="0"/>
    <n v="6"/>
    <n v="5224"/>
    <x v="0"/>
  </r>
  <r>
    <s v="FURIB"/>
    <s v="Furia Bacalhau e Frutos do Mar"/>
    <x v="4"/>
    <n v="5"/>
    <n v="2203.17"/>
    <x v="1"/>
  </r>
  <r>
    <s v="WANDK"/>
    <s v="Die Wandernde Kuh"/>
    <x v="0"/>
    <n v="5"/>
    <n v="2833.5"/>
    <x v="1"/>
  </r>
  <r>
    <s v="GODOS"/>
    <s v="Godos Cocina TÃ­pica"/>
    <x v="2"/>
    <n v="5"/>
    <n v="3548.6"/>
    <x v="1"/>
  </r>
  <r>
    <s v="AROUT"/>
    <s v="Around the Horn"/>
    <x v="5"/>
    <n v="5"/>
    <n v="4807.7"/>
    <x v="0"/>
  </r>
  <r>
    <s v="BOTTM"/>
    <s v="Bottom-Dollar Markets"/>
    <x v="0"/>
    <n v="5"/>
    <n v="4753.05"/>
    <x v="0"/>
  </r>
  <r>
    <s v="HANAR"/>
    <s v="Hanari Carnes"/>
    <x v="1"/>
    <n v="5"/>
    <n v="18980.150000000001"/>
    <x v="0"/>
  </r>
  <r>
    <s v="TORTU"/>
    <s v="Tortuga Restaurante"/>
    <x v="1"/>
    <n v="5"/>
    <n v="5070.2"/>
    <x v="0"/>
  </r>
  <r>
    <s v="HUNGO"/>
    <s v="Hungry Owl All-Night Grocers"/>
    <x v="2"/>
    <n v="5"/>
    <n v="20914.23"/>
    <x v="0"/>
  </r>
  <r>
    <s v="ISLAT"/>
    <s v="Island Trading"/>
    <x v="0"/>
    <n v="5"/>
    <n v="1944.9"/>
    <x v="1"/>
  </r>
  <r>
    <s v="QUEDE"/>
    <s v="Que DelÃ­cia"/>
    <x v="4"/>
    <n v="5"/>
    <n v="2491.04"/>
    <x v="1"/>
  </r>
  <r>
    <s v="WHITC"/>
    <s v="White Clover Markets"/>
    <x v="4"/>
    <n v="5"/>
    <n v="4174.13"/>
    <x v="1"/>
  </r>
  <r>
    <s v="ALFKI"/>
    <s v="Alfreds Futterkiste"/>
    <x v="4"/>
    <n v="4"/>
    <n v="1338.8"/>
    <x v="1"/>
  </r>
  <r>
    <s v="ANATR"/>
    <s v="Ana Trujillo Emparedados y helados"/>
    <x v="0"/>
    <n v="4"/>
    <n v="1078.8"/>
    <x v="1"/>
  </r>
  <r>
    <s v="ANTON"/>
    <s v="Antonio Moreno TaquerÃ­a"/>
    <x v="0"/>
    <n v="4"/>
    <n v="2182.6999999999998"/>
    <x v="1"/>
  </r>
  <r>
    <s v="GREAL"/>
    <s v="Great Lakes Food Market"/>
    <x v="1"/>
    <n v="4"/>
    <n v="11694.38"/>
    <x v="0"/>
  </r>
  <r>
    <s v="FOLKO"/>
    <s v="Folk och fÃ¤ HB"/>
    <x v="6"/>
    <n v="4"/>
    <n v="6464"/>
    <x v="0"/>
  </r>
  <r>
    <s v="OLDWO"/>
    <s v="Old World Delicatessen"/>
    <x v="5"/>
    <n v="4"/>
    <n v="3630.88"/>
    <x v="1"/>
  </r>
  <r>
    <s v="BSBEV"/>
    <s v="B's Beverages"/>
    <x v="7"/>
    <n v="4"/>
    <n v="1405.4"/>
    <x v="1"/>
  </r>
  <r>
    <s v="OTTIK"/>
    <s v="Ottilies KÃ¤seladen"/>
    <x v="5"/>
    <n v="4"/>
    <n v="2757.27"/>
    <x v="1"/>
  </r>
  <r>
    <s v="CHOPS"/>
    <s v="Chop-suey Chinese"/>
    <x v="7"/>
    <n v="4"/>
    <n v="3097.6"/>
    <x v="1"/>
  </r>
  <r>
    <s v="RANCH"/>
    <s v="Rancho grande"/>
    <x v="5"/>
    <n v="4"/>
    <n v="709.1"/>
    <x v="1"/>
  </r>
  <r>
    <s v="REGGC"/>
    <s v="Reggiani Caseifici"/>
    <x v="0"/>
    <n v="4"/>
    <n v="2080.94"/>
    <x v="1"/>
  </r>
  <r>
    <s v="RICSU"/>
    <s v="Richter Supermarkt"/>
    <x v="0"/>
    <n v="4"/>
    <n v="4559.0200000000004"/>
    <x v="0"/>
  </r>
  <r>
    <s v="SEVES"/>
    <s v="Seven Seas Imports"/>
    <x v="0"/>
    <n v="4"/>
    <n v="4540"/>
    <x v="0"/>
  </r>
  <r>
    <s v="SUPRD"/>
    <s v="SuprÃªmes dÃ©lices"/>
    <x v="0"/>
    <n v="4"/>
    <n v="5043"/>
    <x v="0"/>
  </r>
  <r>
    <s v="FAMIA"/>
    <s v="Familia Arquibaldo"/>
    <x v="1"/>
    <n v="4"/>
    <n v="1157.8699999999999"/>
    <x v="1"/>
  </r>
  <r>
    <s v="WOLZA"/>
    <s v="Wolski  Zajazd"/>
    <x v="1"/>
    <n v="4"/>
    <n v="828.5"/>
    <x v="1"/>
  </r>
  <r>
    <s v="VICTE"/>
    <s v="Victuailles en stock"/>
    <x v="5"/>
    <n v="4"/>
    <n v="2396.6999999999998"/>
    <x v="1"/>
  </r>
  <r>
    <s v="CACTU"/>
    <s v="Cactus Comidas para llevar"/>
    <x v="1"/>
    <n v="3"/>
    <n v="811"/>
    <x v="2"/>
  </r>
  <r>
    <s v="BLONP"/>
    <s v="Blondel pÃ¨re et fils"/>
    <x v="2"/>
    <n v="3"/>
    <n v="4976.6000000000004"/>
    <x v="3"/>
  </r>
  <r>
    <s v="SANTG"/>
    <s v="SantÃ© Gourmet"/>
    <x v="1"/>
    <n v="3"/>
    <n v="2756"/>
    <x v="2"/>
  </r>
  <r>
    <s v="RICAR"/>
    <s v="Ricardo Adocicados"/>
    <x v="0"/>
    <n v="3"/>
    <n v="3316.9"/>
    <x v="2"/>
  </r>
  <r>
    <s v="MEREP"/>
    <s v="MÃ¨re Paillarde"/>
    <x v="1"/>
    <n v="3"/>
    <n v="9415.81"/>
    <x v="3"/>
  </r>
  <r>
    <s v="ROMEY"/>
    <s v="Romero y tomillo"/>
    <x v="3"/>
    <n v="3"/>
    <n v="357.09"/>
    <x v="2"/>
  </r>
  <r>
    <s v="WILMK"/>
    <s v="Wilman Kala"/>
    <x v="4"/>
    <n v="3"/>
    <n v="753"/>
    <x v="2"/>
  </r>
  <r>
    <s v="LETSS"/>
    <s v="Let's Stop N Shop"/>
    <x v="4"/>
    <n v="3"/>
    <n v="931.37"/>
    <x v="2"/>
  </r>
  <r>
    <s v="TRADH"/>
    <s v="TradiÃ§Ã£o Hipermercados"/>
    <x v="5"/>
    <n v="3"/>
    <n v="1990.4"/>
    <x v="2"/>
  </r>
  <r>
    <s v="FOLIG"/>
    <s v="Folies gourmandes"/>
    <x v="3"/>
    <n v="3"/>
    <n v="5208"/>
    <x v="3"/>
  </r>
  <r>
    <s v="MORGK"/>
    <s v="Morgenstern Gesundkost"/>
    <x v="5"/>
    <n v="3"/>
    <n v="1921.8"/>
    <x v="2"/>
  </r>
  <r>
    <s v="MAGAA"/>
    <s v="Magazzini Alimentari Riuniti"/>
    <x v="0"/>
    <n v="3"/>
    <n v="1778.2"/>
    <x v="2"/>
  </r>
  <r>
    <s v="LACOR"/>
    <s v="La corne d'abondance"/>
    <x v="5"/>
    <n v="3"/>
    <n v="1000.15"/>
    <x v="2"/>
  </r>
  <r>
    <s v="PICCO"/>
    <s v="Piccolo und mehr"/>
    <x v="1"/>
    <n v="3"/>
    <n v="10608"/>
    <x v="3"/>
  </r>
  <r>
    <s v="MAISD"/>
    <s v="Maison Dewey"/>
    <x v="0"/>
    <n v="3"/>
    <n v="2972"/>
    <x v="2"/>
  </r>
  <r>
    <s v="VINET"/>
    <s v="Vins et alcools Chevalier"/>
    <x v="0"/>
    <n v="2"/>
    <n v="880.6"/>
    <x v="2"/>
  </r>
  <r>
    <s v="FRANS"/>
    <s v="Franchi S.p.A."/>
    <x v="5"/>
    <n v="2"/>
    <n v="143.30000000000001"/>
    <x v="2"/>
  </r>
  <r>
    <s v="WELLI"/>
    <s v="Wellington Importadora"/>
    <x v="2"/>
    <n v="2"/>
    <n v="1789.8"/>
    <x v="2"/>
  </r>
  <r>
    <s v="LONEP"/>
    <s v="Lonesome Pine Restaurant"/>
    <x v="6"/>
    <n v="2"/>
    <n v="1379.2"/>
    <x v="2"/>
  </r>
  <r>
    <s v="PERIC"/>
    <s v="Pericles Comidas clÃ¡sicas"/>
    <x v="6"/>
    <n v="2"/>
    <n v="1938.4"/>
    <x v="2"/>
  </r>
  <r>
    <s v="PRINI"/>
    <s v="Princesa Isabel Vinhos"/>
    <x v="4"/>
    <n v="2"/>
    <n v="1485.12"/>
    <x v="2"/>
  </r>
  <r>
    <s v="LAUGB"/>
    <s v="Laughing Bacchus Wine Cellars"/>
    <x v="3"/>
    <n v="2"/>
    <n v="196"/>
    <x v="2"/>
  </r>
  <r>
    <s v="LAMAI"/>
    <s v="La maison d'Asie"/>
    <x v="2"/>
    <n v="2"/>
    <n v="2496.0100000000002"/>
    <x v="2"/>
  </r>
  <r>
    <s v="HUNGC"/>
    <s v="Hungry Coyote Import Store"/>
    <x v="5"/>
    <n v="2"/>
    <n v="2095"/>
    <x v="2"/>
  </r>
  <r>
    <s v="SPECD"/>
    <s v="SpÃ©cialitÃ©s du monde"/>
    <x v="1"/>
    <n v="2"/>
    <n v="1426"/>
    <x v="2"/>
  </r>
  <r>
    <s v="SPLIR"/>
    <s v="Split Rail Beer &amp; Ale"/>
    <x v="1"/>
    <n v="2"/>
    <n v="4365.2"/>
    <x v="2"/>
  </r>
  <r>
    <s v="NORTS"/>
    <s v="North/South"/>
    <x v="0"/>
    <n v="2"/>
    <n v="328"/>
    <x v="2"/>
  </r>
  <r>
    <s v="OCEAN"/>
    <s v="OcÃ©ano AtlÃ¡ntico Ltda."/>
    <x v="5"/>
    <n v="2"/>
    <n v="1311"/>
    <x v="2"/>
  </r>
  <r>
    <s v="TRAIH"/>
    <s v="Trail's Head Gourmet Provisioners"/>
    <x v="5"/>
    <n v="2"/>
    <n v="640.9"/>
    <x v="2"/>
  </r>
  <r>
    <s v="GOURL"/>
    <s v="Gourmet Lanchonetes"/>
    <x v="4"/>
    <n v="2"/>
    <n v="2350"/>
    <x v="2"/>
  </r>
  <r>
    <s v="BOLID"/>
    <s v="BÃ³lido Comidas preparadas"/>
    <x v="2"/>
    <n v="1"/>
    <n v="3026.85"/>
    <x v="2"/>
  </r>
  <r>
    <s v="CENTC"/>
    <s v="Centro comercial Moctezuma"/>
    <x v="5"/>
    <n v="1"/>
    <n v="80"/>
    <x v="2"/>
  </r>
  <r>
    <s v="COMMI"/>
    <s v="ComÃ©rcio Mineiro"/>
    <x v="2"/>
    <n v="1"/>
    <n v="1485"/>
    <x v="2"/>
  </r>
  <r>
    <s v="TOMSP"/>
    <s v="Toms SpezialitÃ¤ten"/>
    <x v="6"/>
    <n v="1"/>
    <n v="1863.4"/>
    <x v="2"/>
  </r>
  <r>
    <s v="SIMOB"/>
    <s v="Simons bistro"/>
    <x v="1"/>
    <n v="1"/>
    <n v="10540"/>
    <x v="3"/>
  </r>
  <r>
    <s v="EASTC"/>
    <s v="Eastern Connection"/>
    <x v="2"/>
    <n v="1"/>
    <n v="2079"/>
    <x v="2"/>
  </r>
  <r>
    <s v="LAZYK"/>
    <s v="Lazy K Kountry Store"/>
    <x v="0"/>
    <n v="1"/>
    <n v="210"/>
    <x v="2"/>
  </r>
  <r>
    <s v="GROSR"/>
    <s v="GROSELLA-Restaurante"/>
    <x v="2"/>
    <n v="1"/>
    <n v="990"/>
    <x v="2"/>
  </r>
  <r>
    <s v="DUMON"/>
    <s v="Du monde entier"/>
    <x v="2"/>
    <n v="1"/>
    <n v="585"/>
    <x v="2"/>
  </r>
  <r>
    <s v="CONSH"/>
    <s v="Consolidated Holdings"/>
    <x v="4"/>
    <n v="1"/>
    <n v="640.5"/>
    <x v="2"/>
  </r>
  <r>
    <s v="BLAUS"/>
    <s v="Blauer See Delikatessen"/>
    <x v="3"/>
    <n v="1"/>
    <n v="625"/>
    <x v="2"/>
  </r>
  <r>
    <s v="THEBI"/>
    <s v="The Big Cheese"/>
    <x v="1"/>
    <n v="1"/>
    <n v="2775"/>
    <x v="2"/>
  </r>
  <r>
    <s v="THECR"/>
    <s v="The Cracker Box"/>
    <x v="2"/>
    <n v="1"/>
    <n v="742.74"/>
    <x v="2"/>
  </r>
  <r>
    <s v="FRANR"/>
    <s v="France restauration"/>
    <x v="2"/>
    <n v="1"/>
    <n v="1733.06"/>
    <x v="2"/>
  </r>
  <r>
    <s v="DRACD"/>
    <s v="Drachenblut Delikatessen"/>
    <x v="2"/>
    <n v="1"/>
    <n v="656"/>
    <x v="2"/>
  </r>
  <r>
    <s v="GALED"/>
    <s v="GalerÃ­a del gastrÃ³nomo"/>
    <x v="7"/>
    <n v="1"/>
    <n v="338.2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x v="0"/>
    <n v="141396.73000000001"/>
    <n v="1265793.04"/>
    <n v="11.17"/>
    <n v="11.17"/>
  </r>
  <r>
    <x v="1"/>
    <n v="80368.67"/>
    <n v="1265793.04"/>
    <n v="6.35"/>
    <n v="17.52"/>
  </r>
  <r>
    <x v="2"/>
    <n v="71155.7"/>
    <n v="1265793.04"/>
    <n v="5.62"/>
    <n v="23.14"/>
  </r>
  <r>
    <x v="3"/>
    <n v="47234.97"/>
    <n v="1265793.04"/>
    <n v="3.73"/>
    <n v="26.87"/>
  </r>
  <r>
    <x v="4"/>
    <n v="46825.48"/>
    <n v="1265793.04"/>
    <n v="3.7"/>
    <n v="30.57"/>
  </r>
  <r>
    <x v="5"/>
    <n v="42593.06"/>
    <n v="1265793.04"/>
    <n v="3.36"/>
    <n v="33.93"/>
  </r>
  <r>
    <x v="6"/>
    <n v="41819.65"/>
    <n v="1265793.04"/>
    <n v="3.3"/>
    <n v="37.229999999999997"/>
  </r>
  <r>
    <x v="7"/>
    <n v="32698.38"/>
    <n v="1265793.04"/>
    <n v="2.58"/>
    <n v="39.809999999999995"/>
  </r>
  <r>
    <x v="8"/>
    <n v="29171.88"/>
    <n v="1265793.04"/>
    <n v="2.2999999999999998"/>
    <n v="42.109999999999992"/>
  </r>
  <r>
    <x v="9"/>
    <n v="25696.639999999999"/>
    <n v="1265793.04"/>
    <n v="2.0299999999999998"/>
    <n v="44.139999999999993"/>
  </r>
  <r>
    <x v="10"/>
    <n v="24900.13"/>
    <n v="1265793.04"/>
    <n v="1.97"/>
    <n v="46.109999999999992"/>
  </r>
  <r>
    <x v="11"/>
    <n v="23526.7"/>
    <n v="1265793.04"/>
    <n v="1.86"/>
    <n v="47.969999999999992"/>
  </r>
  <r>
    <x v="12"/>
    <n v="22563.360000000001"/>
    <n v="1265793.04"/>
    <n v="1.78"/>
    <n v="49.749999999999993"/>
  </r>
  <r>
    <x v="13"/>
    <n v="22044.3"/>
    <n v="1265793.04"/>
    <n v="1.74"/>
    <n v="51.489999999999995"/>
  </r>
  <r>
    <x v="14"/>
    <n v="21942.36"/>
    <n v="1265793.04"/>
    <n v="1.73"/>
    <n v="53.219999999999992"/>
  </r>
  <r>
    <x v="15"/>
    <n v="21957.97"/>
    <n v="1265793.04"/>
    <n v="1.73"/>
    <n v="54.949999999999989"/>
  </r>
  <r>
    <x v="16"/>
    <n v="20867.34"/>
    <n v="1265793.04"/>
    <n v="1.65"/>
    <n v="56.599999999999987"/>
  </r>
  <r>
    <x v="17"/>
    <n v="20574.169999999998"/>
    <n v="1265793.04"/>
    <n v="1.63"/>
    <n v="58.22999999999999"/>
  </r>
  <r>
    <x v="18"/>
    <n v="19849.14"/>
    <n v="1265793.04"/>
    <n v="1.57"/>
    <n v="59.79999999999999"/>
  </r>
  <r>
    <x v="19"/>
    <n v="19551.02"/>
    <n v="1265793.04"/>
    <n v="1.54"/>
    <n v="61.339999999999989"/>
  </r>
  <r>
    <x v="20"/>
    <n v="17910.63"/>
    <n v="1265793.04"/>
    <n v="1.41"/>
    <n v="62.749999999999986"/>
  </r>
  <r>
    <x v="21"/>
    <n v="17426.400000000001"/>
    <n v="1265793.04"/>
    <n v="1.38"/>
    <n v="64.129999999999981"/>
  </r>
  <r>
    <x v="22"/>
    <n v="17215.78"/>
    <n v="1265793.04"/>
    <n v="1.36"/>
    <n v="65.489999999999981"/>
  </r>
  <r>
    <x v="23"/>
    <n v="16701.099999999999"/>
    <n v="1265793.04"/>
    <n v="1.32"/>
    <n v="66.809999999999974"/>
  </r>
  <r>
    <x v="24"/>
    <n v="16355.96"/>
    <n v="1265793.04"/>
    <n v="1.29"/>
    <n v="68.09999999999998"/>
  </r>
  <r>
    <x v="25"/>
    <n v="15760.44"/>
    <n v="1265793.04"/>
    <n v="1.25"/>
    <n v="69.34999999999998"/>
  </r>
  <r>
    <x v="26"/>
    <n v="15099.88"/>
    <n v="1265793.04"/>
    <n v="1.19"/>
    <n v="70.539999999999978"/>
  </r>
  <r>
    <x v="27"/>
    <n v="14920.88"/>
    <n v="1265793.04"/>
    <n v="1.18"/>
    <n v="71.719999999999985"/>
  </r>
  <r>
    <x v="28"/>
    <n v="14352.6"/>
    <n v="1265793.04"/>
    <n v="1.1299999999999999"/>
    <n v="72.84999999999998"/>
  </r>
  <r>
    <x v="29"/>
    <n v="13869.89"/>
    <n v="1265793.04"/>
    <n v="1.1000000000000001"/>
    <n v="73.949999999999974"/>
  </r>
  <r>
    <x v="30"/>
    <n v="13644"/>
    <n v="1265793.04"/>
    <n v="1.08"/>
    <n v="75.029999999999973"/>
  </r>
  <r>
    <x v="31"/>
    <n v="13458.46"/>
    <n v="1265793.04"/>
    <n v="1.06"/>
    <n v="76.089999999999975"/>
  </r>
  <r>
    <x v="32"/>
    <n v="13424.2"/>
    <n v="1265793.04"/>
    <n v="1.06"/>
    <n v="77.149999999999977"/>
  </r>
  <r>
    <x v="33"/>
    <n v="12901.77"/>
    <n v="1265793.04"/>
    <n v="1.02"/>
    <n v="78.169999999999973"/>
  </r>
  <r>
    <x v="34"/>
    <n v="12788.1"/>
    <n v="1265793.04"/>
    <n v="1.01"/>
    <n v="79.179999999999978"/>
  </r>
  <r>
    <x v="35"/>
    <n v="12772"/>
    <n v="1265793.04"/>
    <n v="1.01"/>
    <n v="80.189999999999984"/>
  </r>
  <r>
    <x v="36"/>
    <n v="12294.54"/>
    <n v="1265793.04"/>
    <n v="0.97"/>
    <n v="81.159999999999982"/>
  </r>
  <r>
    <x v="37"/>
    <n v="12257.66"/>
    <n v="1265793.04"/>
    <n v="0.97"/>
    <n v="82.129999999999981"/>
  </r>
  <r>
    <x v="38"/>
    <n v="10672.65"/>
    <n v="1265793.04"/>
    <n v="0.84"/>
    <n v="82.969999999999985"/>
  </r>
  <r>
    <x v="39"/>
    <n v="9915.9500000000007"/>
    <n v="1265793.04"/>
    <n v="0.78"/>
    <n v="83.749999999999986"/>
  </r>
  <r>
    <x v="40"/>
    <n v="9244.6"/>
    <n v="1265793.04"/>
    <n v="0.73"/>
    <n v="84.47999999999999"/>
  </r>
  <r>
    <x v="41"/>
    <n v="9104"/>
    <n v="1265793.04"/>
    <n v="0.72"/>
    <n v="85.199999999999989"/>
  </r>
  <r>
    <x v="42"/>
    <n v="9171.6299999999992"/>
    <n v="1265793.04"/>
    <n v="0.72"/>
    <n v="85.919999999999987"/>
  </r>
  <r>
    <x v="43"/>
    <n v="8680.35"/>
    <n v="1265793.04"/>
    <n v="0.69"/>
    <n v="86.609999999999985"/>
  </r>
  <r>
    <x v="44"/>
    <n v="8714"/>
    <n v="1265793.04"/>
    <n v="0.69"/>
    <n v="87.299999999999983"/>
  </r>
  <r>
    <x v="45"/>
    <n v="8575"/>
    <n v="1265793.04"/>
    <n v="0.68"/>
    <n v="87.97999999999999"/>
  </r>
  <r>
    <x v="46"/>
    <n v="8567.9"/>
    <n v="1265793.04"/>
    <n v="0.68"/>
    <n v="88.66"/>
  </r>
  <r>
    <x v="47"/>
    <n v="8404.16"/>
    <n v="1265793.04"/>
    <n v="0.66"/>
    <n v="89.32"/>
  </r>
  <r>
    <x v="48"/>
    <n v="8177.49"/>
    <n v="1265793.04"/>
    <n v="0.65"/>
    <n v="89.97"/>
  </r>
  <r>
    <x v="49"/>
    <n v="7991.49"/>
    <n v="1265793.04"/>
    <n v="0.63"/>
    <n v="90.6"/>
  </r>
  <r>
    <x v="50"/>
    <n v="7661.55"/>
    <n v="1265793.04"/>
    <n v="0.61"/>
    <n v="91.21"/>
  </r>
  <r>
    <x v="51"/>
    <n v="7226.5"/>
    <n v="1265793.04"/>
    <n v="0.56999999999999995"/>
    <n v="91.779999999999987"/>
  </r>
  <r>
    <x v="52"/>
    <n v="7122.36"/>
    <n v="1265793.04"/>
    <n v="0.56000000000000005"/>
    <n v="92.339999999999989"/>
  </r>
  <r>
    <x v="53"/>
    <n v="7137"/>
    <n v="1265793.04"/>
    <n v="0.56000000000000005"/>
    <n v="92.899999999999991"/>
  </r>
  <r>
    <x v="54"/>
    <n v="6350.4"/>
    <n v="1265793.04"/>
    <n v="0.5"/>
    <n v="93.399999999999991"/>
  </r>
  <r>
    <x v="55"/>
    <n v="5883"/>
    <n v="1265793.04"/>
    <n v="0.46"/>
    <n v="93.859999999999985"/>
  </r>
  <r>
    <x v="56"/>
    <n v="5862.62"/>
    <n v="1265793.04"/>
    <n v="0.46"/>
    <n v="94.319999999999979"/>
  </r>
  <r>
    <x v="57"/>
    <n v="5881.67"/>
    <n v="1265793.04"/>
    <n v="0.46"/>
    <n v="94.779999999999973"/>
  </r>
  <r>
    <x v="58"/>
    <n v="5347.2"/>
    <n v="1265793.04"/>
    <n v="0.42"/>
    <n v="95.199999999999974"/>
  </r>
  <r>
    <x v="59"/>
    <n v="4960.4399999999996"/>
    <n v="1265793.04"/>
    <n v="0.39"/>
    <n v="95.589999999999975"/>
  </r>
  <r>
    <x v="60"/>
    <n v="4728.24"/>
    <n v="1265793.04"/>
    <n v="0.37"/>
    <n v="95.95999999999998"/>
  </r>
  <r>
    <x v="61"/>
    <n v="4504.3599999999997"/>
    <n v="1265793.04"/>
    <n v="0.36"/>
    <n v="96.319999999999979"/>
  </r>
  <r>
    <x v="62"/>
    <n v="4601.7"/>
    <n v="1265793.04"/>
    <n v="0.36"/>
    <n v="96.679999999999978"/>
  </r>
  <r>
    <x v="63"/>
    <n v="4338.18"/>
    <n v="1265793.04"/>
    <n v="0.34"/>
    <n v="97.019999999999982"/>
  </r>
  <r>
    <x v="64"/>
    <n v="3997.2"/>
    <n v="1265793.04"/>
    <n v="0.32"/>
    <n v="97.339999999999975"/>
  </r>
  <r>
    <x v="65"/>
    <n v="3958.08"/>
    <n v="1265793.04"/>
    <n v="0.31"/>
    <n v="97.649999999999977"/>
  </r>
  <r>
    <x v="66"/>
    <n v="3704.4"/>
    <n v="1265793.04"/>
    <n v="0.28999999999999998"/>
    <n v="97.939999999999984"/>
  </r>
  <r>
    <x v="67"/>
    <n v="3383"/>
    <n v="1265793.04"/>
    <n v="0.27"/>
    <n v="98.20999999999998"/>
  </r>
  <r>
    <x v="68"/>
    <n v="3437.69"/>
    <n v="1265793.04"/>
    <n v="0.27"/>
    <n v="98.479999999999976"/>
  </r>
  <r>
    <x v="69"/>
    <n v="3232.95"/>
    <n v="1265793.04"/>
    <n v="0.26"/>
    <n v="98.739999999999981"/>
  </r>
  <r>
    <x v="70"/>
    <n v="3044"/>
    <n v="1265793.04"/>
    <n v="0.24"/>
    <n v="98.979999999999976"/>
  </r>
  <r>
    <x v="71"/>
    <n v="2688.4"/>
    <n v="1265793.04"/>
    <n v="0.21"/>
    <n v="99.189999999999969"/>
  </r>
  <r>
    <x v="72"/>
    <n v="2432.5"/>
    <n v="1265793.04"/>
    <n v="0.19"/>
    <n v="99.379999999999967"/>
  </r>
  <r>
    <x v="73"/>
    <n v="2396.8000000000002"/>
    <n v="1265793.04"/>
    <n v="0.19"/>
    <n v="99.569999999999965"/>
  </r>
  <r>
    <x v="74"/>
    <n v="1784.82"/>
    <n v="1265793.04"/>
    <n v="0.14000000000000001"/>
    <n v="99.709999999999965"/>
  </r>
  <r>
    <x v="75"/>
    <n v="1648.12"/>
    <n v="1265793.04"/>
    <n v="0.13"/>
    <n v="99.839999999999961"/>
  </r>
  <r>
    <x v="76"/>
    <n v="1368.71"/>
    <n v="1265793.04"/>
    <n v="0.11"/>
    <n v="99.9499999999999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38"/>
    <n v="6.89"/>
    <n v="262"/>
  </r>
  <r>
    <x v="1"/>
    <n v="21"/>
    <n v="3.24"/>
    <n v="68"/>
  </r>
  <r>
    <x v="2"/>
    <n v="27"/>
    <n v="12.89"/>
    <n v="348"/>
  </r>
  <r>
    <x v="3"/>
    <n v="3"/>
    <n v="27.33"/>
    <n v="8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UK"/>
    <x v="0"/>
    <x v="0"/>
    <n v="3"/>
  </r>
  <r>
    <s v="USA"/>
    <x v="1"/>
    <x v="0"/>
    <n v="1"/>
  </r>
  <r>
    <s v="USA"/>
    <x v="2"/>
    <x v="1"/>
    <n v="1"/>
  </r>
  <r>
    <s v="USA"/>
    <x v="3"/>
    <x v="0"/>
    <n v="1"/>
  </r>
  <r>
    <s v="UK"/>
    <x v="0"/>
    <x v="2"/>
    <n v="1"/>
  </r>
  <r>
    <s v="USA"/>
    <x v="4"/>
    <x v="0"/>
    <n v="1"/>
  </r>
  <r>
    <s v="USA"/>
    <x v="4"/>
    <x v="3"/>
    <n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Nancy Davolio"/>
    <x v="0"/>
    <x v="0"/>
  </r>
  <r>
    <s v="Andrew Fuller"/>
    <x v="1"/>
    <x v="0"/>
  </r>
  <r>
    <s v="Janet Leverling"/>
    <x v="0"/>
    <x v="0"/>
  </r>
  <r>
    <s v="Margaret Peacock"/>
    <x v="0"/>
    <x v="1"/>
  </r>
  <r>
    <s v="Steven Buchanan"/>
    <x v="2"/>
    <x v="1"/>
  </r>
  <r>
    <s v="Michael Suyama"/>
    <x v="0"/>
    <x v="1"/>
  </r>
  <r>
    <s v="Robert King"/>
    <x v="0"/>
    <x v="2"/>
  </r>
  <r>
    <s v="Laura Callahan"/>
    <x v="3"/>
    <x v="2"/>
  </r>
  <r>
    <s v="Anne Dodsworth"/>
    <x v="0"/>
    <x v="2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6"/>
    <x v="0"/>
    <n v="3"/>
    <n v="1"/>
    <n v="0"/>
  </r>
  <r>
    <x v="1"/>
    <n v="1"/>
    <x v="1"/>
    <n v="1"/>
    <n v="0"/>
    <n v="0"/>
  </r>
  <r>
    <x v="2"/>
    <n v="1"/>
    <x v="1"/>
    <n v="0"/>
    <n v="0"/>
    <n v="1"/>
  </r>
  <r>
    <x v="3"/>
    <n v="1"/>
    <x v="2"/>
    <n v="0"/>
    <n v="0"/>
    <n v="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n v="38"/>
    <x v="0"/>
    <n v="263.5"/>
    <n v="17"/>
    <n v="623"/>
    <n v="141396.74"/>
  </r>
  <r>
    <n v="29"/>
    <x v="1"/>
    <n v="123.79"/>
    <n v="0"/>
    <n v="746"/>
    <n v="80368.67"/>
  </r>
  <r>
    <n v="59"/>
    <x v="2"/>
    <n v="55"/>
    <n v="79"/>
    <n v="1496"/>
    <n v="71155.7"/>
  </r>
  <r>
    <n v="62"/>
    <x v="3"/>
    <n v="49.3"/>
    <n v="17"/>
    <n v="1083"/>
    <n v="47234.97"/>
  </r>
  <r>
    <n v="60"/>
    <x v="4"/>
    <n v="34"/>
    <n v="19"/>
    <n v="1577"/>
    <n v="46825.48"/>
  </r>
  <r>
    <n v="56"/>
    <x v="5"/>
    <n v="38"/>
    <n v="21"/>
    <n v="1263"/>
    <n v="42593.06"/>
  </r>
  <r>
    <n v="51"/>
    <x v="6"/>
    <n v="53"/>
    <n v="20"/>
    <n v="886"/>
    <n v="41819.65"/>
  </r>
  <r>
    <n v="17"/>
    <x v="7"/>
    <n v="39"/>
    <n v="0"/>
    <n v="978"/>
    <n v="32698.38"/>
  </r>
  <r>
    <n v="18"/>
    <x v="8"/>
    <n v="62.5"/>
    <n v="42"/>
    <n v="539"/>
    <n v="29171.88"/>
  </r>
  <r>
    <n v="28"/>
    <x v="9"/>
    <n v="45.6"/>
    <n v="26"/>
    <n v="640"/>
    <n v="25696.639999999999"/>
  </r>
  <r>
    <n v="72"/>
    <x v="10"/>
    <n v="34.799999999999997"/>
    <n v="14"/>
    <n v="806"/>
    <n v="24900.13"/>
  </r>
  <r>
    <n v="43"/>
    <x v="11"/>
    <n v="46"/>
    <n v="17"/>
    <n v="580"/>
    <n v="23526.7"/>
  </r>
  <r>
    <n v="20"/>
    <x v="12"/>
    <n v="81"/>
    <n v="40"/>
    <n v="313"/>
    <n v="22563.360000000001"/>
  </r>
  <r>
    <n v="7"/>
    <x v="13"/>
    <n v="30"/>
    <n v="15"/>
    <n v="763"/>
    <n v="22044.3"/>
  </r>
  <r>
    <n v="64"/>
    <x v="14"/>
    <n v="33.25"/>
    <n v="22"/>
    <n v="740"/>
    <n v="21957.97"/>
  </r>
  <r>
    <n v="69"/>
    <x v="15"/>
    <n v="36"/>
    <n v="26"/>
    <n v="714"/>
    <n v="21942.36"/>
  </r>
  <r>
    <n v="10"/>
    <x v="16"/>
    <n v="31"/>
    <n v="31"/>
    <n v="742"/>
    <n v="20867.34"/>
  </r>
  <r>
    <n v="53"/>
    <x v="17"/>
    <n v="32.799999999999997"/>
    <n v="0"/>
    <n v="722"/>
    <n v="20574.169999999998"/>
  </r>
  <r>
    <n v="26"/>
    <x v="18"/>
    <n v="31.23"/>
    <n v="15"/>
    <n v="753"/>
    <n v="19849.14"/>
  </r>
  <r>
    <n v="71"/>
    <x v="19"/>
    <n v="21.5"/>
    <n v="26"/>
    <n v="1057"/>
    <n v="19551.03"/>
  </r>
  <r>
    <n v="40"/>
    <x v="20"/>
    <n v="18.399999999999999"/>
    <n v="123"/>
    <n v="1103"/>
    <n v="17910.63"/>
  </r>
  <r>
    <n v="55"/>
    <x v="21"/>
    <n v="24"/>
    <n v="115"/>
    <n v="903"/>
    <n v="17426.400000000001"/>
  </r>
  <r>
    <n v="16"/>
    <x v="22"/>
    <n v="17.45"/>
    <n v="29"/>
    <n v="1158"/>
    <n v="17215.78"/>
  </r>
  <r>
    <n v="63"/>
    <x v="23"/>
    <n v="43.9"/>
    <n v="24"/>
    <n v="445"/>
    <n v="16701.099999999999"/>
  </r>
  <r>
    <n v="2"/>
    <x v="24"/>
    <n v="19"/>
    <n v="17"/>
    <n v="1057"/>
    <n v="16355.96"/>
  </r>
  <r>
    <n v="76"/>
    <x v="25"/>
    <n v="18"/>
    <n v="57"/>
    <n v="981"/>
    <n v="15760.44"/>
  </r>
  <r>
    <n v="27"/>
    <x v="26"/>
    <n v="43.9"/>
    <n v="49"/>
    <n v="365"/>
    <n v="15099.88"/>
  </r>
  <r>
    <n v="31"/>
    <x v="27"/>
    <n v="12.5"/>
    <n v="0"/>
    <n v="1397"/>
    <n v="14920.88"/>
  </r>
  <r>
    <n v="61"/>
    <x v="28"/>
    <n v="28.5"/>
    <n v="113"/>
    <n v="603"/>
    <n v="14352.6"/>
  </r>
  <r>
    <n v="65"/>
    <x v="29"/>
    <n v="21.05"/>
    <n v="76"/>
    <n v="745"/>
    <n v="13869.89"/>
  </r>
  <r>
    <n v="35"/>
    <x v="30"/>
    <n v="18"/>
    <n v="20"/>
    <n v="883"/>
    <n v="13644"/>
  </r>
  <r>
    <n v="36"/>
    <x v="31"/>
    <n v="19"/>
    <n v="112"/>
    <n v="805"/>
    <n v="13458.46"/>
  </r>
  <r>
    <n v="30"/>
    <x v="32"/>
    <n v="25.89"/>
    <n v="10"/>
    <n v="612"/>
    <n v="13424.2"/>
  </r>
  <r>
    <n v="11"/>
    <x v="33"/>
    <n v="21"/>
    <n v="22"/>
    <n v="706"/>
    <n v="12901.77"/>
  </r>
  <r>
    <n v="1"/>
    <x v="34"/>
    <n v="18"/>
    <n v="39"/>
    <n v="828"/>
    <n v="12788.1"/>
  </r>
  <r>
    <n v="8"/>
    <x v="35"/>
    <n v="40"/>
    <n v="6"/>
    <n v="372"/>
    <n v="12772"/>
  </r>
  <r>
    <n v="39"/>
    <x v="36"/>
    <n v="18"/>
    <n v="69"/>
    <n v="793"/>
    <n v="12294.54"/>
  </r>
  <r>
    <n v="12"/>
    <x v="37"/>
    <n v="38"/>
    <n v="86"/>
    <n v="344"/>
    <n v="12257.66"/>
  </r>
  <r>
    <n v="70"/>
    <x v="38"/>
    <n v="15"/>
    <n v="15"/>
    <n v="817"/>
    <n v="10672.65"/>
  </r>
  <r>
    <n v="44"/>
    <x v="39"/>
    <n v="19.45"/>
    <n v="27"/>
    <n v="601"/>
    <n v="9915.9500000000007"/>
  </r>
  <r>
    <n v="49"/>
    <x v="40"/>
    <n v="20"/>
    <n v="10"/>
    <n v="520"/>
    <n v="9244.6"/>
  </r>
  <r>
    <n v="77"/>
    <x v="41"/>
    <n v="13"/>
    <n v="32"/>
    <n v="791"/>
    <n v="9171.6299999999992"/>
  </r>
  <r>
    <n v="21"/>
    <x v="42"/>
    <n v="10"/>
    <n v="3"/>
    <n v="1016"/>
    <n v="9104"/>
  </r>
  <r>
    <n v="68"/>
    <x v="43"/>
    <n v="12.5"/>
    <n v="6"/>
    <n v="799"/>
    <n v="8714"/>
  </r>
  <r>
    <n v="41"/>
    <x v="44"/>
    <n v="9.65"/>
    <n v="85"/>
    <n v="981"/>
    <n v="8680.35"/>
  </r>
  <r>
    <n v="42"/>
    <x v="45"/>
    <n v="14"/>
    <n v="26"/>
    <n v="697"/>
    <n v="8575"/>
  </r>
  <r>
    <n v="4"/>
    <x v="46"/>
    <n v="22"/>
    <n v="53"/>
    <n v="453"/>
    <n v="8567.9"/>
  </r>
  <r>
    <n v="32"/>
    <x v="47"/>
    <n v="32"/>
    <n v="9"/>
    <n v="297"/>
    <n v="8404.16"/>
  </r>
  <r>
    <n v="75"/>
    <x v="48"/>
    <n v="7.75"/>
    <n v="125"/>
    <n v="1155"/>
    <n v="8177.49"/>
  </r>
  <r>
    <n v="14"/>
    <x v="49"/>
    <n v="23.25"/>
    <n v="35"/>
    <n v="404"/>
    <n v="7991.49"/>
  </r>
  <r>
    <n v="57"/>
    <x v="50"/>
    <n v="19.5"/>
    <n v="36"/>
    <n v="434"/>
    <n v="7661.55"/>
  </r>
  <r>
    <n v="9"/>
    <x v="51"/>
    <n v="97"/>
    <n v="29"/>
    <n v="95"/>
    <n v="7226.5"/>
  </r>
  <r>
    <n v="6"/>
    <x v="52"/>
    <n v="25"/>
    <n v="120"/>
    <n v="301"/>
    <n v="7137"/>
  </r>
  <r>
    <n v="22"/>
    <x v="53"/>
    <n v="21"/>
    <n v="104"/>
    <n v="348"/>
    <n v="7122.36"/>
  </r>
  <r>
    <n v="34"/>
    <x v="54"/>
    <n v="14"/>
    <n v="111"/>
    <n v="506"/>
    <n v="6350.4"/>
  </r>
  <r>
    <n v="46"/>
    <x v="55"/>
    <n v="12"/>
    <n v="95"/>
    <n v="548"/>
    <n v="5883"/>
  </r>
  <r>
    <n v="58"/>
    <x v="56"/>
    <n v="13.25"/>
    <n v="62"/>
    <n v="534"/>
    <n v="5881.68"/>
  </r>
  <r>
    <n v="19"/>
    <x v="57"/>
    <n v="9.1999999999999993"/>
    <n v="25"/>
    <n v="723"/>
    <n v="5862.62"/>
  </r>
  <r>
    <n v="5"/>
    <x v="58"/>
    <n v="21.35"/>
    <n v="0"/>
    <n v="298"/>
    <n v="5347.2"/>
  </r>
  <r>
    <n v="13"/>
    <x v="59"/>
    <n v="6"/>
    <n v="24"/>
    <n v="891"/>
    <n v="4960.4399999999996"/>
  </r>
  <r>
    <n v="54"/>
    <x v="60"/>
    <n v="7.45"/>
    <n v="21"/>
    <n v="755"/>
    <n v="4728.24"/>
  </r>
  <r>
    <n v="23"/>
    <x v="61"/>
    <n v="9"/>
    <n v="61"/>
    <n v="580"/>
    <n v="4601.7"/>
  </r>
  <r>
    <n v="24"/>
    <x v="62"/>
    <n v="4.5"/>
    <n v="20"/>
    <n v="1125"/>
    <n v="4504.37"/>
  </r>
  <r>
    <n v="45"/>
    <x v="63"/>
    <n v="9.5"/>
    <n v="5"/>
    <n v="508"/>
    <n v="4338.18"/>
  </r>
  <r>
    <n v="73"/>
    <x v="64"/>
    <n v="15"/>
    <n v="101"/>
    <n v="293"/>
    <n v="3997.2"/>
  </r>
  <r>
    <n v="47"/>
    <x v="65"/>
    <n v="9.5"/>
    <n v="36"/>
    <n v="485"/>
    <n v="3958.08"/>
  </r>
  <r>
    <n v="25"/>
    <x v="66"/>
    <n v="14"/>
    <n v="76"/>
    <n v="318"/>
    <n v="3704.4"/>
  </r>
  <r>
    <n v="50"/>
    <x v="67"/>
    <n v="16.25"/>
    <n v="65"/>
    <n v="235"/>
    <n v="3437.69"/>
  </r>
  <r>
    <n v="66"/>
    <x v="68"/>
    <n v="17"/>
    <n v="4"/>
    <n v="239"/>
    <n v="3383"/>
  </r>
  <r>
    <n v="52"/>
    <x v="69"/>
    <n v="7"/>
    <n v="38"/>
    <n v="500"/>
    <n v="3232.95"/>
  </r>
  <r>
    <n v="3"/>
    <x v="70"/>
    <n v="10"/>
    <n v="13"/>
    <n v="328"/>
    <n v="3044"/>
  </r>
  <r>
    <n v="37"/>
    <x v="71"/>
    <n v="26"/>
    <n v="11"/>
    <n v="125"/>
    <n v="2688.4"/>
  </r>
  <r>
    <n v="74"/>
    <x v="72"/>
    <n v="10"/>
    <n v="4"/>
    <n v="297"/>
    <n v="2432.5"/>
  </r>
  <r>
    <n v="67"/>
    <x v="73"/>
    <n v="14"/>
    <n v="52"/>
    <n v="184"/>
    <n v="2396.8000000000002"/>
  </r>
  <r>
    <n v="15"/>
    <x v="74"/>
    <n v="15.5"/>
    <n v="39"/>
    <n v="122"/>
    <n v="1784.83"/>
  </r>
  <r>
    <n v="33"/>
    <x v="75"/>
    <n v="2.5"/>
    <n v="112"/>
    <n v="755"/>
    <n v="1648.13"/>
  </r>
  <r>
    <n v="48"/>
    <x v="76"/>
    <n v="12.75"/>
    <n v="15"/>
    <n v="138"/>
    <n v="1368.7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5">
  <r>
    <s v="Gorgonzola Telino"/>
    <x v="0"/>
    <x v="0"/>
  </r>
  <r>
    <s v="Manjimup Dried Apples"/>
    <x v="0"/>
    <x v="1"/>
  </r>
  <r>
    <s v="Pâté chinois"/>
    <x v="0"/>
    <x v="2"/>
  </r>
  <r>
    <s v="Fløtemysost"/>
    <x v="0"/>
    <x v="3"/>
  </r>
  <r>
    <s v="Chartreuse verte"/>
    <x v="0"/>
    <x v="4"/>
  </r>
  <r>
    <s v="Scottish Longbreads"/>
    <x v="0"/>
    <x v="5"/>
  </r>
  <r>
    <s v="Gnocchi di nonna Alice"/>
    <x v="0"/>
    <x v="6"/>
  </r>
  <r>
    <s v="Longlife Tofu"/>
    <x v="0"/>
    <x v="7"/>
  </r>
  <r>
    <s v="Perth Pasties"/>
    <x v="0"/>
    <x v="8"/>
  </r>
  <r>
    <s v="Mozzarella di Giovanni"/>
    <x v="0"/>
    <x v="9"/>
  </r>
  <r>
    <s v="Camembert Pierrot"/>
    <x v="0"/>
    <x v="10"/>
  </r>
  <r>
    <s v="Rhönbräu Klosterbier"/>
    <x v="0"/>
    <x v="11"/>
  </r>
  <r>
    <s v="Chang"/>
    <x v="0"/>
    <x v="12"/>
  </r>
  <r>
    <s v="Alice Mutton"/>
    <x v="0"/>
    <x v="13"/>
  </r>
  <r>
    <s v="Thüringer Rostbratwurst"/>
    <x v="0"/>
    <x v="14"/>
  </r>
  <r>
    <s v="Louisiana Fiery Hot Pepper Sauce"/>
    <x v="0"/>
    <x v="15"/>
  </r>
  <r>
    <s v="Outback Lager"/>
    <x v="0"/>
    <x v="16"/>
  </r>
  <r>
    <s v="Escargots de Bourgogne"/>
    <x v="0"/>
    <x v="16"/>
  </r>
  <r>
    <s v="Gumbär Gummibärchen"/>
    <x v="0"/>
    <x v="17"/>
  </r>
  <r>
    <s v="Pavlova"/>
    <x v="0"/>
    <x v="18"/>
  </r>
  <r>
    <s v="Steeleye Stout"/>
    <x v="0"/>
    <x v="18"/>
  </r>
  <r>
    <s v="Queso Cabrales"/>
    <x v="0"/>
    <x v="18"/>
  </r>
  <r>
    <s v="Jack's New England Clam Chowder"/>
    <x v="0"/>
    <x v="19"/>
  </r>
  <r>
    <s v="Gudbrandsdalsost"/>
    <x v="0"/>
    <x v="19"/>
  </r>
  <r>
    <s v="Raclette Courdavault"/>
    <x v="0"/>
    <x v="20"/>
  </r>
  <r>
    <s v="Teatime Chocolate Biscuits"/>
    <x v="0"/>
    <x v="21"/>
  </r>
  <r>
    <s v="Spegesild"/>
    <x v="0"/>
    <x v="22"/>
  </r>
  <r>
    <s v="Tofu"/>
    <x v="0"/>
    <x v="23"/>
  </r>
  <r>
    <s v="Tarte au sucre"/>
    <x v="0"/>
    <x v="23"/>
  </r>
  <r>
    <s v="Guaraná Fantástica"/>
    <x v="0"/>
    <x v="24"/>
  </r>
  <r>
    <s v="NuNuCa Nuß-Nougat-Creme"/>
    <x v="0"/>
    <x v="25"/>
  </r>
  <r>
    <s v="Ikura"/>
    <x v="0"/>
    <x v="26"/>
  </r>
  <r>
    <s v="Konbu"/>
    <x v="0"/>
    <x v="26"/>
  </r>
  <r>
    <s v="Wimmers gute Semmelknödel"/>
    <x v="0"/>
    <x v="27"/>
  </r>
  <r>
    <s v="Geitost"/>
    <x v="0"/>
    <x v="28"/>
  </r>
  <r>
    <s v="Nord-Ost Matjeshering"/>
    <x v="0"/>
    <x v="29"/>
  </r>
  <r>
    <s v="Côte de Blaye"/>
    <x v="0"/>
    <x v="30"/>
  </r>
  <r>
    <s v="Rössle Sauerkraut"/>
    <x v="0"/>
    <x v="31"/>
  </r>
  <r>
    <s v="Sir Rodney's Scones"/>
    <x v="0"/>
    <x v="31"/>
  </r>
  <r>
    <s v="Louisiana Hot Spiced Okra"/>
    <x v="0"/>
    <x v="31"/>
  </r>
  <r>
    <s v="Uncle Bob's Organic Dried Pears"/>
    <x v="0"/>
    <x v="32"/>
  </r>
  <r>
    <s v="Vegie-spread"/>
    <x v="0"/>
    <x v="33"/>
  </r>
  <r>
    <s v="Filo Mix"/>
    <x v="0"/>
    <x v="34"/>
  </r>
  <r>
    <s v="Røgede sild"/>
    <x v="0"/>
    <x v="35"/>
  </r>
  <r>
    <s v="Tunnbröd"/>
    <x v="0"/>
    <x v="36"/>
  </r>
  <r>
    <s v="Schoggi Schokolade"/>
    <x v="0"/>
    <x v="36"/>
  </r>
  <r>
    <s v="Sir Rodney's Marmalade"/>
    <x v="0"/>
    <x v="36"/>
  </r>
  <r>
    <s v="Carnarvon Tigers"/>
    <x v="0"/>
    <x v="37"/>
  </r>
  <r>
    <s v="Inlagd Sill"/>
    <x v="0"/>
    <x v="38"/>
  </r>
  <r>
    <s v="Lakkalikööri"/>
    <x v="0"/>
    <x v="39"/>
  </r>
  <r>
    <s v="Singaporean Hokkien Fried Mee"/>
    <x v="0"/>
    <x v="40"/>
  </r>
  <r>
    <s v="Chef Anton's Gumbo Mix"/>
    <x v="0"/>
    <x v="41"/>
  </r>
  <r>
    <s v="Northwoods Cranberry Sauce"/>
    <x v="0"/>
    <x v="42"/>
  </r>
  <r>
    <s v="Zaanse koeken"/>
    <x v="0"/>
    <x v="42"/>
  </r>
  <r>
    <s v="Ipoh Coffee"/>
    <x v="0"/>
    <x v="42"/>
  </r>
  <r>
    <s v="Original Frankfurter grüne Soße"/>
    <x v="0"/>
    <x v="43"/>
  </r>
  <r>
    <s v="Tourtière"/>
    <x v="0"/>
    <x v="43"/>
  </r>
  <r>
    <s v="Aniseed Syrup"/>
    <x v="0"/>
    <x v="44"/>
  </r>
  <r>
    <s v="Sasquatch Ale"/>
    <x v="0"/>
    <x v="44"/>
  </r>
  <r>
    <s v="Sirop d'érable"/>
    <x v="0"/>
    <x v="44"/>
  </r>
  <r>
    <s v="Valkoinen suklaa"/>
    <x v="0"/>
    <x v="45"/>
  </r>
  <r>
    <s v="Chai"/>
    <x v="0"/>
    <x v="45"/>
  </r>
  <r>
    <s v="Gustaf's Knäckebröd"/>
    <x v="0"/>
    <x v="46"/>
  </r>
  <r>
    <s v="Gula Malacca"/>
    <x v="0"/>
    <x v="46"/>
  </r>
  <r>
    <s v="Maxilaku"/>
    <x v="0"/>
    <x v="47"/>
  </r>
  <r>
    <s v="Laughing Lumberjack Lager"/>
    <x v="0"/>
    <x v="48"/>
  </r>
  <r>
    <s v="Boston Crab Meat"/>
    <x v="0"/>
    <x v="49"/>
  </r>
  <r>
    <s v="Camembert Pierrot"/>
    <x v="1"/>
    <x v="50"/>
  </r>
  <r>
    <s v="Raclette Courdavault"/>
    <x v="1"/>
    <x v="51"/>
  </r>
  <r>
    <s v="Gnocchi di nonna Alice"/>
    <x v="1"/>
    <x v="52"/>
  </r>
  <r>
    <s v="Tarte au sucre"/>
    <x v="1"/>
    <x v="53"/>
  </r>
  <r>
    <s v="Côte de Blaye"/>
    <x v="1"/>
    <x v="54"/>
  </r>
  <r>
    <s v="Gumbär Gummibärchen"/>
    <x v="1"/>
    <x v="55"/>
  </r>
  <r>
    <s v="Steeleye Stout"/>
    <x v="1"/>
    <x v="56"/>
  </r>
  <r>
    <s v="Tunnbröd"/>
    <x v="1"/>
    <x v="57"/>
  </r>
  <r>
    <s v="Geitost"/>
    <x v="1"/>
    <x v="58"/>
  </r>
  <r>
    <s v="Ikura"/>
    <x v="1"/>
    <x v="59"/>
  </r>
  <r>
    <s v="Fløtemysost"/>
    <x v="1"/>
    <x v="8"/>
  </r>
  <r>
    <s v="Aniseed Syrup"/>
    <x v="1"/>
    <x v="60"/>
  </r>
  <r>
    <s v="Lakkalikööri"/>
    <x v="1"/>
    <x v="61"/>
  </r>
  <r>
    <s v="Chang"/>
    <x v="1"/>
    <x v="62"/>
  </r>
  <r>
    <s v="Chai"/>
    <x v="1"/>
    <x v="63"/>
  </r>
  <r>
    <s v="Wimmers gute Semmelknödel"/>
    <x v="1"/>
    <x v="63"/>
  </r>
  <r>
    <s v="Boston Crab Meat"/>
    <x v="1"/>
    <x v="11"/>
  </r>
  <r>
    <s v="Scottish Longbreads"/>
    <x v="1"/>
    <x v="12"/>
  </r>
  <r>
    <s v="Outback Lager"/>
    <x v="1"/>
    <x v="64"/>
  </r>
  <r>
    <s v="Singaporean Hokkien Fried Mee"/>
    <x v="1"/>
    <x v="15"/>
  </r>
  <r>
    <s v="Original Frankfurter grüne Soße"/>
    <x v="1"/>
    <x v="65"/>
  </r>
  <r>
    <s v="Zaanse koeken"/>
    <x v="1"/>
    <x v="16"/>
  </r>
  <r>
    <s v="Konbu"/>
    <x v="1"/>
    <x v="66"/>
  </r>
  <r>
    <s v="Escargots de Bourgogne"/>
    <x v="1"/>
    <x v="67"/>
  </r>
  <r>
    <s v="Gorgonzola Telino"/>
    <x v="1"/>
    <x v="68"/>
  </r>
  <r>
    <s v="Gustaf's Knäckebröd"/>
    <x v="1"/>
    <x v="69"/>
  </r>
  <r>
    <s v="Ravioli Angelo"/>
    <x v="1"/>
    <x v="70"/>
  </r>
  <r>
    <s v="Chocolade"/>
    <x v="1"/>
    <x v="71"/>
  </r>
  <r>
    <s v="Jack's New England Clam Chowder"/>
    <x v="1"/>
    <x v="20"/>
  </r>
  <r>
    <s v="Pavlova"/>
    <x v="1"/>
    <x v="72"/>
  </r>
  <r>
    <s v="Teatime Chocolate Biscuits"/>
    <x v="1"/>
    <x v="72"/>
  </r>
  <r>
    <s v="Gravad lax"/>
    <x v="1"/>
    <x v="24"/>
  </r>
  <r>
    <s v="Tofu"/>
    <x v="1"/>
    <x v="73"/>
  </r>
  <r>
    <s v="Queso Cabrales"/>
    <x v="1"/>
    <x v="27"/>
  </r>
  <r>
    <s v="Vegie-spread"/>
    <x v="1"/>
    <x v="27"/>
  </r>
  <r>
    <s v="Maxilaku"/>
    <x v="1"/>
    <x v="28"/>
  </r>
  <r>
    <s v="Chartreuse verte"/>
    <x v="1"/>
    <x v="74"/>
  </r>
  <r>
    <s v="Spegesild"/>
    <x v="1"/>
    <x v="75"/>
  </r>
  <r>
    <s v="Gula Malacca"/>
    <x v="1"/>
    <x v="76"/>
  </r>
  <r>
    <s v="Inlagd Sill"/>
    <x v="1"/>
    <x v="30"/>
  </r>
  <r>
    <s v="Mozzarella di Giovanni"/>
    <x v="1"/>
    <x v="30"/>
  </r>
  <r>
    <s v="Perth Pasties"/>
    <x v="1"/>
    <x v="77"/>
  </r>
  <r>
    <s v="NuNuCa Nuß-Nougat-Creme"/>
    <x v="1"/>
    <x v="78"/>
  </r>
  <r>
    <s v="Sirop d'érable"/>
    <x v="1"/>
    <x v="33"/>
  </r>
  <r>
    <s v="Rössle Sauerkraut"/>
    <x v="1"/>
    <x v="35"/>
  </r>
  <r>
    <s v="Sir Rodney's Scones"/>
    <x v="1"/>
    <x v="35"/>
  </r>
  <r>
    <s v="Ipoh Coffee"/>
    <x v="1"/>
    <x v="79"/>
  </r>
  <r>
    <s v="Tourtière"/>
    <x v="1"/>
    <x v="79"/>
  </r>
  <r>
    <s v="Guaraná Fantástica"/>
    <x v="1"/>
    <x v="36"/>
  </r>
  <r>
    <s v="Thüringer Rostbratwurst"/>
    <x v="1"/>
    <x v="37"/>
  </r>
  <r>
    <s v="Nord-Ost Matjeshering"/>
    <x v="1"/>
    <x v="80"/>
  </r>
  <r>
    <s v="Røgede sild"/>
    <x v="1"/>
    <x v="38"/>
  </r>
  <r>
    <s v="Carnarvon Tigers"/>
    <x v="1"/>
    <x v="39"/>
  </r>
  <r>
    <s v="Longlife Tofu"/>
    <x v="1"/>
    <x v="39"/>
  </r>
  <r>
    <s v="Louisiana Fiery Hot Pepper Sauce"/>
    <x v="1"/>
    <x v="39"/>
  </r>
  <r>
    <s v="Gudbrandsdalsost"/>
    <x v="1"/>
    <x v="39"/>
  </r>
  <r>
    <s v="Chef Anton's Gumbo Mix"/>
    <x v="1"/>
    <x v="42"/>
  </r>
  <r>
    <s v="Uncle Bob's Organic Dried Pears"/>
    <x v="1"/>
    <x v="81"/>
  </r>
  <r>
    <s v="Mishi Kobe Niku"/>
    <x v="1"/>
    <x v="82"/>
  </r>
  <r>
    <s v="Chef Anton's Cajun Seasoning"/>
    <x v="1"/>
    <x v="83"/>
  </r>
  <r>
    <s v="Röd Kaviar"/>
    <x v="1"/>
    <x v="44"/>
  </r>
  <r>
    <s v="Filo Mix"/>
    <x v="1"/>
    <x v="44"/>
  </r>
  <r>
    <s v="Northwoods Cranberry Sauce"/>
    <x v="1"/>
    <x v="44"/>
  </r>
  <r>
    <s v="Mascarpone Fabioli"/>
    <x v="1"/>
    <x v="44"/>
  </r>
  <r>
    <s v="Rhönbräu Klosterbier"/>
    <x v="1"/>
    <x v="44"/>
  </r>
  <r>
    <s v="Manjimup Dried Apples"/>
    <x v="1"/>
    <x v="84"/>
  </r>
  <r>
    <s v="Schoggi Schokolade"/>
    <x v="1"/>
    <x v="46"/>
  </r>
  <r>
    <s v="Pâté chinois"/>
    <x v="1"/>
    <x v="46"/>
  </r>
  <r>
    <s v="Alice Mutton"/>
    <x v="1"/>
    <x v="85"/>
  </r>
  <r>
    <s v="Grandma's Boysenberry Spread"/>
    <x v="1"/>
    <x v="86"/>
  </r>
  <r>
    <s v="Sir Rodney's Marmalade"/>
    <x v="1"/>
    <x v="87"/>
  </r>
  <r>
    <s v="Sir Rodney's Scones"/>
    <x v="2"/>
    <x v="88"/>
  </r>
  <r>
    <s v="Pâté chinois"/>
    <x v="2"/>
    <x v="89"/>
  </r>
  <r>
    <s v="Alice Mutton"/>
    <x v="2"/>
    <x v="90"/>
  </r>
  <r>
    <s v="Thüringer Rostbratwurst"/>
    <x v="2"/>
    <x v="91"/>
  </r>
  <r>
    <s v="Tourtière"/>
    <x v="2"/>
    <x v="92"/>
  </r>
  <r>
    <s v="Boston Crab Meat"/>
    <x v="2"/>
    <x v="53"/>
  </r>
  <r>
    <s v="Guaraná Fantástica"/>
    <x v="2"/>
    <x v="93"/>
  </r>
  <r>
    <s v="Sirop d'érable"/>
    <x v="2"/>
    <x v="94"/>
  </r>
  <r>
    <s v="Rhönbräu Klosterbier"/>
    <x v="2"/>
    <x v="95"/>
  </r>
  <r>
    <s v="Chartreuse verte"/>
    <x v="2"/>
    <x v="96"/>
  </r>
  <r>
    <s v="Queso Cabrales"/>
    <x v="2"/>
    <x v="97"/>
  </r>
  <r>
    <s v="Nord-Ost Matjeshering"/>
    <x v="2"/>
    <x v="56"/>
  </r>
  <r>
    <s v="Gnocchi di nonna Alice"/>
    <x v="2"/>
    <x v="98"/>
  </r>
  <r>
    <s v="Pavlova"/>
    <x v="2"/>
    <x v="57"/>
  </r>
  <r>
    <s v="Raclette Courdavault"/>
    <x v="2"/>
    <x v="99"/>
  </r>
  <r>
    <s v="Fløtemysost"/>
    <x v="2"/>
    <x v="100"/>
  </r>
  <r>
    <s v="Louisiana Fiery Hot Pepper Sauce"/>
    <x v="2"/>
    <x v="9"/>
  </r>
  <r>
    <s v="Geitost"/>
    <x v="2"/>
    <x v="61"/>
  </r>
  <r>
    <s v="Original Frankfurter grüne Soße"/>
    <x v="2"/>
    <x v="101"/>
  </r>
  <r>
    <s v="Chang"/>
    <x v="2"/>
    <x v="102"/>
  </r>
  <r>
    <s v="Ikura"/>
    <x v="2"/>
    <x v="103"/>
  </r>
  <r>
    <s v="Outback Lager"/>
    <x v="2"/>
    <x v="13"/>
  </r>
  <r>
    <s v="Maxilaku"/>
    <x v="2"/>
    <x v="13"/>
  </r>
  <r>
    <s v="Wimmers gute Semmelknödel"/>
    <x v="2"/>
    <x v="14"/>
  </r>
  <r>
    <s v="Teatime Chocolate Biscuits"/>
    <x v="2"/>
    <x v="64"/>
  </r>
  <r>
    <s v="Camembert Pierrot"/>
    <x v="2"/>
    <x v="104"/>
  </r>
  <r>
    <s v="Gula Malacca"/>
    <x v="2"/>
    <x v="104"/>
  </r>
  <r>
    <s v="Côte de Blaye"/>
    <x v="2"/>
    <x v="104"/>
  </r>
  <r>
    <s v="Tarte au sucre"/>
    <x v="2"/>
    <x v="105"/>
  </r>
  <r>
    <s v="Chai"/>
    <x v="2"/>
    <x v="67"/>
  </r>
  <r>
    <s v="Gumbär Gummibärchen"/>
    <x v="2"/>
    <x v="106"/>
  </r>
  <r>
    <s v="Tunnbröd"/>
    <x v="2"/>
    <x v="107"/>
  </r>
  <r>
    <s v="Scottish Longbreads"/>
    <x v="2"/>
    <x v="108"/>
  </r>
  <r>
    <s v="Jack's New England Clam Chowder"/>
    <x v="2"/>
    <x v="108"/>
  </r>
  <r>
    <s v="Konbu"/>
    <x v="2"/>
    <x v="22"/>
  </r>
  <r>
    <s v="Perth Pasties"/>
    <x v="2"/>
    <x v="26"/>
  </r>
  <r>
    <s v="Louisiana Hot Spiced Okra"/>
    <x v="2"/>
    <x v="28"/>
  </r>
  <r>
    <s v="Rössle Sauerkraut"/>
    <x v="2"/>
    <x v="28"/>
  </r>
  <r>
    <s v="Filo Mix"/>
    <x v="2"/>
    <x v="75"/>
  </r>
  <r>
    <s v="Spegesild"/>
    <x v="2"/>
    <x v="76"/>
  </r>
  <r>
    <s v="Zaanse koeken"/>
    <x v="2"/>
    <x v="78"/>
  </r>
  <r>
    <s v="Schoggi Schokolade"/>
    <x v="2"/>
    <x v="31"/>
  </r>
  <r>
    <s v="Grandma's Boysenberry Spread"/>
    <x v="2"/>
    <x v="31"/>
  </r>
  <r>
    <s v="Mozzarella di Giovanni"/>
    <x v="2"/>
    <x v="31"/>
  </r>
  <r>
    <s v="Gudbrandsdalsost"/>
    <x v="2"/>
    <x v="31"/>
  </r>
  <r>
    <s v="Uncle Bob's Organic Dried Pears"/>
    <x v="2"/>
    <x v="32"/>
  </r>
  <r>
    <s v="Carnarvon Tigers"/>
    <x v="2"/>
    <x v="109"/>
  </r>
  <r>
    <s v="Steeleye Stout"/>
    <x v="2"/>
    <x v="109"/>
  </r>
  <r>
    <s v="Escargots de Bourgogne"/>
    <x v="2"/>
    <x v="35"/>
  </r>
  <r>
    <s v="Valkoinen suklaa"/>
    <x v="2"/>
    <x v="36"/>
  </r>
  <r>
    <s v="Gorgonzola Telino"/>
    <x v="2"/>
    <x v="80"/>
  </r>
  <r>
    <s v="Ravioli Angelo"/>
    <x v="2"/>
    <x v="39"/>
  </r>
  <r>
    <s v="Vegie-spread"/>
    <x v="2"/>
    <x v="39"/>
  </r>
  <r>
    <s v="Northwoods Cranberry Sauce"/>
    <x v="2"/>
    <x v="42"/>
  </r>
  <r>
    <s v="Chef Anton's Cajun Seasoning"/>
    <x v="2"/>
    <x v="42"/>
  </r>
  <r>
    <s v="Sasquatch Ale"/>
    <x v="2"/>
    <x v="42"/>
  </r>
  <r>
    <s v="Longlife Tofu"/>
    <x v="2"/>
    <x v="42"/>
  </r>
  <r>
    <s v="Laughing Lumberjack Lager"/>
    <x v="2"/>
    <x v="42"/>
  </r>
  <r>
    <s v="Lakkalikööri"/>
    <x v="2"/>
    <x v="110"/>
  </r>
  <r>
    <s v="Singaporean Hokkien Fried Mee"/>
    <x v="2"/>
    <x v="81"/>
  </r>
  <r>
    <s v="Inlagd Sill"/>
    <x v="2"/>
    <x v="44"/>
  </r>
  <r>
    <s v="Sir Rodney's Marmalade"/>
    <x v="2"/>
    <x v="44"/>
  </r>
  <r>
    <s v="Ipoh Coffee"/>
    <x v="2"/>
    <x v="44"/>
  </r>
  <r>
    <s v="Chocolade"/>
    <x v="2"/>
    <x v="45"/>
  </r>
  <r>
    <s v="Queso Manchego La Pastora"/>
    <x v="2"/>
    <x v="45"/>
  </r>
  <r>
    <s v="Røgede sild"/>
    <x v="2"/>
    <x v="45"/>
  </r>
  <r>
    <s v="Gustaf's Knäckebröd"/>
    <x v="2"/>
    <x v="111"/>
  </r>
  <r>
    <s v="Röd Kaviar"/>
    <x v="2"/>
    <x v="46"/>
  </r>
  <r>
    <s v="Mascarpone Fabioli"/>
    <x v="2"/>
    <x v="86"/>
  </r>
  <r>
    <s v="NuNuCa Nuß-Nougat-Creme"/>
    <x v="2"/>
    <x v="87"/>
  </r>
  <r>
    <s v="Manjimup Dried Apples"/>
    <x v="2"/>
    <x v="112"/>
  </r>
  <r>
    <s v="Guaraná Fantástica"/>
    <x v="3"/>
    <x v="113"/>
  </r>
  <r>
    <s v="Konbu"/>
    <x v="3"/>
    <x v="114"/>
  </r>
  <r>
    <s v="Uncle Bob's Organic Dried Pears"/>
    <x v="3"/>
    <x v="115"/>
  </r>
  <r>
    <s v="Rhönbräu Klosterbier"/>
    <x v="3"/>
    <x v="116"/>
  </r>
  <r>
    <s v="Pavlova"/>
    <x v="3"/>
    <x v="117"/>
  </r>
  <r>
    <s v="Gorgonzola Telino"/>
    <x v="3"/>
    <x v="91"/>
  </r>
  <r>
    <s v="Sir Rodney's Scones"/>
    <x v="3"/>
    <x v="92"/>
  </r>
  <r>
    <s v="Lakkalikööri"/>
    <x v="3"/>
    <x v="118"/>
  </r>
  <r>
    <s v="Camembert Pierrot"/>
    <x v="3"/>
    <x v="119"/>
  </r>
  <r>
    <s v="Tarte au sucre"/>
    <x v="3"/>
    <x v="120"/>
  </r>
  <r>
    <s v="Manjimup Dried Apples"/>
    <x v="3"/>
    <x v="101"/>
  </r>
  <r>
    <s v="Raclette Courdavault"/>
    <x v="3"/>
    <x v="14"/>
  </r>
  <r>
    <s v="Vegie-spread"/>
    <x v="3"/>
    <x v="121"/>
  </r>
  <r>
    <s v="Mozzarella di Giovanni"/>
    <x v="3"/>
    <x v="122"/>
  </r>
  <r>
    <s v="Original Frankfurter grüne Soße"/>
    <x v="3"/>
    <x v="104"/>
  </r>
  <r>
    <s v="Chai"/>
    <x v="3"/>
    <x v="123"/>
  </r>
  <r>
    <s v="Inlagd Sill"/>
    <x v="3"/>
    <x v="16"/>
  </r>
  <r>
    <s v="Côte de Blaye"/>
    <x v="3"/>
    <x v="16"/>
  </r>
  <r>
    <s v="Ikura"/>
    <x v="3"/>
    <x v="16"/>
  </r>
  <r>
    <s v="Maxilaku"/>
    <x v="3"/>
    <x v="124"/>
  </r>
  <r>
    <s v="Boston Crab Meat"/>
    <x v="3"/>
    <x v="17"/>
  </r>
  <r>
    <s v="Grandma's Boysenberry Spread"/>
    <x v="3"/>
    <x v="68"/>
  </r>
  <r>
    <s v="Queso Cabrales"/>
    <x v="3"/>
    <x v="19"/>
  </r>
  <r>
    <s v="Gnocchi di nonna Alice"/>
    <x v="3"/>
    <x v="107"/>
  </r>
  <r>
    <s v="Scottish Longbreads"/>
    <x v="3"/>
    <x v="107"/>
  </r>
  <r>
    <s v="Zaanse koeken"/>
    <x v="3"/>
    <x v="108"/>
  </r>
  <r>
    <s v="Rössle Sauerkraut"/>
    <x v="3"/>
    <x v="71"/>
  </r>
  <r>
    <s v="Outback Lager"/>
    <x v="3"/>
    <x v="23"/>
  </r>
  <r>
    <s v="Sir Rodney's Marmalade"/>
    <x v="3"/>
    <x v="24"/>
  </r>
  <r>
    <s v="Chang"/>
    <x v="3"/>
    <x v="24"/>
  </r>
  <r>
    <s v="Ipoh Coffee"/>
    <x v="3"/>
    <x v="73"/>
  </r>
  <r>
    <s v="Laughing Lumberjack Lager"/>
    <x v="3"/>
    <x v="125"/>
  </r>
  <r>
    <s v="Filo Mix"/>
    <x v="3"/>
    <x v="126"/>
  </r>
  <r>
    <s v="Pâté chinois"/>
    <x v="3"/>
    <x v="127"/>
  </r>
  <r>
    <s v="Louisiana Hot Spiced Okra"/>
    <x v="3"/>
    <x v="28"/>
  </r>
  <r>
    <s v="Røgede sild"/>
    <x v="3"/>
    <x v="28"/>
  </r>
  <r>
    <s v="Singaporean Hokkien Fried Mee"/>
    <x v="3"/>
    <x v="28"/>
  </r>
  <r>
    <s v="Valkoinen suklaa"/>
    <x v="3"/>
    <x v="29"/>
  </r>
  <r>
    <s v="Sasquatch Ale"/>
    <x v="3"/>
    <x v="30"/>
  </r>
  <r>
    <s v="Schoggi Schokolade"/>
    <x v="3"/>
    <x v="30"/>
  </r>
  <r>
    <s v="Steeleye Stout"/>
    <x v="3"/>
    <x v="31"/>
  </r>
  <r>
    <s v="Queso Manchego La Pastora"/>
    <x v="3"/>
    <x v="31"/>
  </r>
  <r>
    <s v="Wimmers gute Semmelknödel"/>
    <x v="3"/>
    <x v="31"/>
  </r>
  <r>
    <s v="Chartreuse verte"/>
    <x v="3"/>
    <x v="31"/>
  </r>
  <r>
    <s v="Perth Pasties"/>
    <x v="3"/>
    <x v="31"/>
  </r>
  <r>
    <s v="Carnarvon Tigers"/>
    <x v="3"/>
    <x v="32"/>
  </r>
  <r>
    <s v="Fløtemysost"/>
    <x v="3"/>
    <x v="128"/>
  </r>
  <r>
    <s v="Ravioli Angelo"/>
    <x v="3"/>
    <x v="109"/>
  </r>
  <r>
    <s v="Teatime Chocolate Biscuits"/>
    <x v="3"/>
    <x v="109"/>
  </r>
  <r>
    <s v="Tunnbröd"/>
    <x v="3"/>
    <x v="129"/>
  </r>
  <r>
    <s v="Jack's New England Clam Chowder"/>
    <x v="3"/>
    <x v="36"/>
  </r>
  <r>
    <s v="Nord-Ost Matjeshering"/>
    <x v="3"/>
    <x v="37"/>
  </r>
  <r>
    <s v="Northwoods Cranberry Sauce"/>
    <x v="3"/>
    <x v="38"/>
  </r>
  <r>
    <s v="NuNuCa Nuß-Nougat-Creme"/>
    <x v="3"/>
    <x v="38"/>
  </r>
  <r>
    <s v="Gumbär Gummibärchen"/>
    <x v="3"/>
    <x v="39"/>
  </r>
  <r>
    <s v="Mascarpone Fabioli"/>
    <x v="3"/>
    <x v="39"/>
  </r>
  <r>
    <s v="Geitost"/>
    <x v="3"/>
    <x v="40"/>
  </r>
  <r>
    <s v="Thüringer Rostbratwurst"/>
    <x v="3"/>
    <x v="41"/>
  </r>
  <r>
    <s v="Sirop d'érable"/>
    <x v="3"/>
    <x v="42"/>
  </r>
  <r>
    <s v="Escargots de Bourgogne"/>
    <x v="3"/>
    <x v="42"/>
  </r>
  <r>
    <s v="Spegesild"/>
    <x v="3"/>
    <x v="43"/>
  </r>
  <r>
    <s v="Alice Mutton"/>
    <x v="3"/>
    <x v="130"/>
  </r>
  <r>
    <s v="Gula Malacca"/>
    <x v="3"/>
    <x v="131"/>
  </r>
  <r>
    <s v="Tourtière"/>
    <x v="3"/>
    <x v="132"/>
  </r>
  <r>
    <s v="Gustaf's Knäckebröd"/>
    <x v="3"/>
    <x v="83"/>
  </r>
  <r>
    <s v="Chef Anton's Cajun Seasoning"/>
    <x v="3"/>
    <x v="83"/>
  </r>
  <r>
    <s v="Chef Anton's Gumbo Mix"/>
    <x v="3"/>
    <x v="44"/>
  </r>
  <r>
    <s v="Aniseed Syrup"/>
    <x v="3"/>
    <x v="44"/>
  </r>
  <r>
    <s v="Röd Kaviar"/>
    <x v="3"/>
    <x v="44"/>
  </r>
  <r>
    <s v="Gudbrandsdalsost"/>
    <x v="3"/>
    <x v="133"/>
  </r>
  <r>
    <s v="Longlife Tofu"/>
    <x v="3"/>
    <x v="134"/>
  </r>
  <r>
    <s v="Tofu"/>
    <x v="3"/>
    <x v="111"/>
  </r>
  <r>
    <s v="Gravad lax"/>
    <x v="3"/>
    <x v="85"/>
  </r>
  <r>
    <s v="Raclette Courdavault"/>
    <x v="4"/>
    <x v="135"/>
  </r>
  <r>
    <s v="Camembert Pierrot"/>
    <x v="4"/>
    <x v="136"/>
  </r>
  <r>
    <s v="Jack's New England Clam Chowder"/>
    <x v="4"/>
    <x v="137"/>
  </r>
  <r>
    <s v="Sasquatch Ale"/>
    <x v="4"/>
    <x v="138"/>
  </r>
  <r>
    <s v="Chang"/>
    <x v="4"/>
    <x v="139"/>
  </r>
  <r>
    <s v="Konbu"/>
    <x v="4"/>
    <x v="140"/>
  </r>
  <r>
    <s v="Fløtemysost"/>
    <x v="4"/>
    <x v="141"/>
  </r>
  <r>
    <s v="Pâté chinois"/>
    <x v="4"/>
    <x v="142"/>
  </r>
  <r>
    <s v="Singaporean Hokkien Fried Mee"/>
    <x v="4"/>
    <x v="143"/>
  </r>
  <r>
    <s v="Gnocchi di nonna Alice"/>
    <x v="4"/>
    <x v="52"/>
  </r>
  <r>
    <s v="Guaraná Fantástica"/>
    <x v="4"/>
    <x v="144"/>
  </r>
  <r>
    <s v="Uncle Bob's Organic Dried Pears"/>
    <x v="4"/>
    <x v="145"/>
  </r>
  <r>
    <s v="Thüringer Rostbratwurst"/>
    <x v="4"/>
    <x v="146"/>
  </r>
  <r>
    <s v="Rössle Sauerkraut"/>
    <x v="4"/>
    <x v="120"/>
  </r>
  <r>
    <s v="Sir Rodney's Scones"/>
    <x v="4"/>
    <x v="147"/>
  </r>
  <r>
    <s v="Rhönbräu Klosterbier"/>
    <x v="4"/>
    <x v="148"/>
  </r>
  <r>
    <s v="Lakkalikööri"/>
    <x v="4"/>
    <x v="99"/>
  </r>
  <r>
    <s v="Chai"/>
    <x v="4"/>
    <x v="149"/>
  </r>
  <r>
    <s v="Sirop d'érable"/>
    <x v="4"/>
    <x v="100"/>
  </r>
  <r>
    <s v="Mascarpone Fabioli"/>
    <x v="4"/>
    <x v="150"/>
  </r>
  <r>
    <s v="Scottish Longbreads"/>
    <x v="4"/>
    <x v="150"/>
  </r>
  <r>
    <s v="Manjimup Dried Apples"/>
    <x v="4"/>
    <x v="151"/>
  </r>
  <r>
    <s v="Teatime Chocolate Biscuits"/>
    <x v="4"/>
    <x v="9"/>
  </r>
  <r>
    <s v="Perth Pasties"/>
    <x v="4"/>
    <x v="10"/>
  </r>
  <r>
    <s v="Schoggi Schokolade"/>
    <x v="4"/>
    <x v="101"/>
  </r>
  <r>
    <s v="Steeleye Stout"/>
    <x v="4"/>
    <x v="101"/>
  </r>
  <r>
    <s v="Original Frankfurter grüne Soße"/>
    <x v="4"/>
    <x v="102"/>
  </r>
  <r>
    <s v="Chef Anton's Gumbo Mix"/>
    <x v="4"/>
    <x v="104"/>
  </r>
  <r>
    <s v="Louisiana Fiery Hot Pepper Sauce"/>
    <x v="4"/>
    <x v="16"/>
  </r>
  <r>
    <s v="NuNuCa Nuß-Nougat-Creme"/>
    <x v="4"/>
    <x v="66"/>
  </r>
  <r>
    <s v="Outback Lager"/>
    <x v="4"/>
    <x v="152"/>
  </r>
  <r>
    <s v="Alice Mutton"/>
    <x v="4"/>
    <x v="152"/>
  </r>
  <r>
    <s v="Maxilaku"/>
    <x v="4"/>
    <x v="69"/>
  </r>
  <r>
    <s v="Boston Crab Meat"/>
    <x v="4"/>
    <x v="18"/>
  </r>
  <r>
    <s v="Gumbär Gummibärchen"/>
    <x v="4"/>
    <x v="106"/>
  </r>
  <r>
    <s v="Carnarvon Tigers"/>
    <x v="4"/>
    <x v="71"/>
  </r>
  <r>
    <s v="Gudbrandsdalsost"/>
    <x v="4"/>
    <x v="153"/>
  </r>
  <r>
    <s v="Chef Anton's Cajun Seasoning"/>
    <x v="4"/>
    <x v="154"/>
  </r>
  <r>
    <s v="Ipoh Coffee"/>
    <x v="4"/>
    <x v="154"/>
  </r>
  <r>
    <s v="Geitost"/>
    <x v="4"/>
    <x v="72"/>
  </r>
  <r>
    <s v="Tofu"/>
    <x v="4"/>
    <x v="24"/>
  </r>
  <r>
    <s v="Inlagd Sill"/>
    <x v="4"/>
    <x v="25"/>
  </r>
  <r>
    <s v="Northwoods Cranberry Sauce"/>
    <x v="4"/>
    <x v="125"/>
  </r>
  <r>
    <s v="Mozzarella di Giovanni"/>
    <x v="4"/>
    <x v="155"/>
  </r>
  <r>
    <s v="Spegesild"/>
    <x v="4"/>
    <x v="75"/>
  </r>
  <r>
    <s v="Sir Rodney's Marmalade"/>
    <x v="4"/>
    <x v="77"/>
  </r>
  <r>
    <s v="Pavlova"/>
    <x v="4"/>
    <x v="156"/>
  </r>
  <r>
    <s v="Gula Malacca"/>
    <x v="4"/>
    <x v="78"/>
  </r>
  <r>
    <s v="Tourtière"/>
    <x v="4"/>
    <x v="31"/>
  </r>
  <r>
    <s v="Laughing Lumberjack Lager"/>
    <x v="4"/>
    <x v="31"/>
  </r>
  <r>
    <s v="Ravioli Angelo"/>
    <x v="4"/>
    <x v="32"/>
  </r>
  <r>
    <s v="Wimmers gute Semmelknödel"/>
    <x v="4"/>
    <x v="109"/>
  </r>
  <r>
    <s v="Queso Manchego La Pastora"/>
    <x v="4"/>
    <x v="129"/>
  </r>
  <r>
    <s v="Vegie-spread"/>
    <x v="4"/>
    <x v="35"/>
  </r>
  <r>
    <s v="Røgede sild"/>
    <x v="4"/>
    <x v="79"/>
  </r>
  <r>
    <s v="Ikura"/>
    <x v="4"/>
    <x v="36"/>
  </r>
  <r>
    <s v="Côte de Blaye"/>
    <x v="4"/>
    <x v="36"/>
  </r>
  <r>
    <s v="Escargots de Bourgogne"/>
    <x v="4"/>
    <x v="36"/>
  </r>
  <r>
    <s v="Nord-Ost Matjeshering"/>
    <x v="4"/>
    <x v="37"/>
  </r>
  <r>
    <s v="Filo Mix"/>
    <x v="4"/>
    <x v="80"/>
  </r>
  <r>
    <s v="Tarte au sucre"/>
    <x v="4"/>
    <x v="38"/>
  </r>
  <r>
    <s v="Gorgonzola Telino"/>
    <x v="4"/>
    <x v="39"/>
  </r>
  <r>
    <s v="Gustaf's Knäckebröd"/>
    <x v="4"/>
    <x v="81"/>
  </r>
  <r>
    <s v="Aniseed Syrup"/>
    <x v="4"/>
    <x v="81"/>
  </r>
  <r>
    <s v="Tunnbröd"/>
    <x v="4"/>
    <x v="44"/>
  </r>
  <r>
    <s v="Longlife Tofu"/>
    <x v="4"/>
    <x v="44"/>
  </r>
  <r>
    <s v="Mishi Kobe Niku"/>
    <x v="4"/>
    <x v="134"/>
  </r>
  <r>
    <s v="Chocolade"/>
    <x v="4"/>
    <x v="45"/>
  </r>
  <r>
    <s v="Genen Shouyu"/>
    <x v="4"/>
    <x v="111"/>
  </r>
  <r>
    <s v="Queso Cabrales"/>
    <x v="4"/>
    <x v="46"/>
  </r>
  <r>
    <s v="Louisiana Hot Spiced Okra"/>
    <x v="4"/>
    <x v="46"/>
  </r>
  <r>
    <s v="Chartreuse verte"/>
    <x v="4"/>
    <x v="46"/>
  </r>
  <r>
    <s v="Zaanse koeken"/>
    <x v="4"/>
    <x v="86"/>
  </r>
  <r>
    <s v="Gorgonzola Telino"/>
    <x v="5"/>
    <x v="147"/>
  </r>
  <r>
    <s v="Wimmers gute Semmelknödel"/>
    <x v="5"/>
    <x v="157"/>
  </r>
  <r>
    <s v="Pavlova"/>
    <x v="5"/>
    <x v="8"/>
  </r>
  <r>
    <s v="Ipoh Coffee"/>
    <x v="5"/>
    <x v="158"/>
  </r>
  <r>
    <s v="Inlagd Sill"/>
    <x v="5"/>
    <x v="101"/>
  </r>
  <r>
    <s v="Queso Cabrales"/>
    <x v="5"/>
    <x v="159"/>
  </r>
  <r>
    <s v="Chef Anton's Cajun Seasoning"/>
    <x v="5"/>
    <x v="122"/>
  </r>
  <r>
    <s v="Røgede sild"/>
    <x v="5"/>
    <x v="104"/>
  </r>
  <r>
    <s v="Tunnbröd"/>
    <x v="5"/>
    <x v="124"/>
  </r>
  <r>
    <s v="Alice Mutton"/>
    <x v="5"/>
    <x v="22"/>
  </r>
  <r>
    <s v="Jack's New England Clam Chowder"/>
    <x v="5"/>
    <x v="23"/>
  </r>
  <r>
    <s v="Aniseed Syrup"/>
    <x v="5"/>
    <x v="125"/>
  </r>
  <r>
    <s v="Chang"/>
    <x v="5"/>
    <x v="155"/>
  </r>
  <r>
    <s v="Tarte au sucre"/>
    <x v="5"/>
    <x v="28"/>
  </r>
  <r>
    <s v="Steeleye Stout"/>
    <x v="5"/>
    <x v="76"/>
  </r>
  <r>
    <s v="Guaraná Fantástica"/>
    <x v="5"/>
    <x v="30"/>
  </r>
  <r>
    <s v="Mozzarella di Giovanni"/>
    <x v="5"/>
    <x v="30"/>
  </r>
  <r>
    <s v="Scottish Longbreads"/>
    <x v="5"/>
    <x v="30"/>
  </r>
  <r>
    <s v="Manjimup Dried Apples"/>
    <x v="5"/>
    <x v="77"/>
  </r>
  <r>
    <s v="Geitost"/>
    <x v="5"/>
    <x v="156"/>
  </r>
  <r>
    <s v="Lakkalikööri"/>
    <x v="5"/>
    <x v="160"/>
  </r>
  <r>
    <s v="Tourtière"/>
    <x v="5"/>
    <x v="161"/>
  </r>
  <r>
    <s v="Chai"/>
    <x v="5"/>
    <x v="32"/>
  </r>
  <r>
    <s v="Queso Manchego La Pastora"/>
    <x v="5"/>
    <x v="128"/>
  </r>
  <r>
    <s v="Original Frankfurter grüne Soße"/>
    <x v="5"/>
    <x v="36"/>
  </r>
  <r>
    <s v="Gula Malacca"/>
    <x v="5"/>
    <x v="36"/>
  </r>
  <r>
    <s v="Gumbär Gummibärchen"/>
    <x v="5"/>
    <x v="36"/>
  </r>
  <r>
    <s v="Camembert Pierrot"/>
    <x v="5"/>
    <x v="162"/>
  </r>
  <r>
    <s v="Louisiana Fiery Hot Pepper Sauce"/>
    <x v="5"/>
    <x v="38"/>
  </r>
  <r>
    <s v="Boston Crab Meat"/>
    <x v="5"/>
    <x v="39"/>
  </r>
  <r>
    <s v="Nord-Ost Matjeshering"/>
    <x v="5"/>
    <x v="39"/>
  </r>
  <r>
    <s v="Röd Kaviar"/>
    <x v="5"/>
    <x v="39"/>
  </r>
  <r>
    <s v="Rhönbräu Klosterbier"/>
    <x v="5"/>
    <x v="40"/>
  </r>
  <r>
    <s v="Côte de Blaye"/>
    <x v="5"/>
    <x v="40"/>
  </r>
  <r>
    <s v="Spegesild"/>
    <x v="5"/>
    <x v="163"/>
  </r>
  <r>
    <s v="Konbu"/>
    <x v="5"/>
    <x v="41"/>
  </r>
  <r>
    <s v="Gnocchi di nonna Alice"/>
    <x v="5"/>
    <x v="42"/>
  </r>
  <r>
    <s v="Sirop d'érable"/>
    <x v="5"/>
    <x v="42"/>
  </r>
  <r>
    <s v="Gudbrandsdalsost"/>
    <x v="5"/>
    <x v="110"/>
  </r>
  <r>
    <s v="Uncle Bob's Organic Dried Pears"/>
    <x v="5"/>
    <x v="131"/>
  </r>
  <r>
    <s v="Louisiana Hot Spiced Okra"/>
    <x v="5"/>
    <x v="81"/>
  </r>
  <r>
    <s v="Mascarpone Fabioli"/>
    <x v="5"/>
    <x v="81"/>
  </r>
  <r>
    <s v="Gustaf's Knäckebröd"/>
    <x v="5"/>
    <x v="132"/>
  </r>
  <r>
    <s v="Chartreuse verte"/>
    <x v="5"/>
    <x v="164"/>
  </r>
  <r>
    <s v="Valkoinen suklaa"/>
    <x v="5"/>
    <x v="164"/>
  </r>
  <r>
    <s v="Grandma's Boysenberry Spread"/>
    <x v="5"/>
    <x v="83"/>
  </r>
  <r>
    <s v="Tofu"/>
    <x v="5"/>
    <x v="83"/>
  </r>
  <r>
    <s v="Sir Rodney's Scones"/>
    <x v="5"/>
    <x v="83"/>
  </r>
  <r>
    <s v="Teatime Chocolate Biscuits"/>
    <x v="5"/>
    <x v="44"/>
  </r>
  <r>
    <s v="Escargots de Bourgogne"/>
    <x v="5"/>
    <x v="44"/>
  </r>
  <r>
    <s v="Gravad lax"/>
    <x v="5"/>
    <x v="165"/>
  </r>
  <r>
    <s v="Raclette Courdavault"/>
    <x v="5"/>
    <x v="166"/>
  </r>
  <r>
    <s v="Sir Rodney's Marmalade"/>
    <x v="5"/>
    <x v="134"/>
  </r>
  <r>
    <s v="Pâté chinois"/>
    <x v="5"/>
    <x v="134"/>
  </r>
  <r>
    <s v="Rössle Sauerkraut"/>
    <x v="5"/>
    <x v="45"/>
  </r>
  <r>
    <s v="Sasquatch Ale"/>
    <x v="5"/>
    <x v="46"/>
  </r>
  <r>
    <s v="Fløtemysost"/>
    <x v="5"/>
    <x v="167"/>
  </r>
  <r>
    <s v="Outback Lager"/>
    <x v="5"/>
    <x v="168"/>
  </r>
  <r>
    <s v="Laughing Lumberjack Lager"/>
    <x v="5"/>
    <x v="168"/>
  </r>
  <r>
    <s v="Maxilaku"/>
    <x v="5"/>
    <x v="86"/>
  </r>
  <r>
    <s v="Ravioli Angelo"/>
    <x v="5"/>
    <x v="87"/>
  </r>
  <r>
    <s v="Ikura"/>
    <x v="5"/>
    <x v="48"/>
  </r>
  <r>
    <s v="Filo Mix"/>
    <x v="5"/>
    <x v="112"/>
  </r>
  <r>
    <s v="Northwoods Cranberry Sauce"/>
    <x v="5"/>
    <x v="112"/>
  </r>
  <r>
    <s v="Gorgonzola Telino"/>
    <x v="6"/>
    <x v="169"/>
  </r>
  <r>
    <s v="Rhönbräu Klosterbier"/>
    <x v="6"/>
    <x v="10"/>
  </r>
  <r>
    <s v="Gnocchi di nonna Alice"/>
    <x v="6"/>
    <x v="104"/>
  </r>
  <r>
    <s v="Filo Mix"/>
    <x v="6"/>
    <x v="104"/>
  </r>
  <r>
    <s v="Manjimup Dried Apples"/>
    <x v="6"/>
    <x v="66"/>
  </r>
  <r>
    <s v="Lakkalikööri"/>
    <x v="6"/>
    <x v="125"/>
  </r>
  <r>
    <s v="Tofu"/>
    <x v="6"/>
    <x v="76"/>
  </r>
  <r>
    <s v="Mozzarella di Giovanni"/>
    <x v="6"/>
    <x v="77"/>
  </r>
  <r>
    <s v="Wimmers gute Semmelknödel"/>
    <x v="6"/>
    <x v="77"/>
  </r>
  <r>
    <s v="Raclette Courdavault"/>
    <x v="6"/>
    <x v="160"/>
  </r>
  <r>
    <s v="Boston Crab Meat"/>
    <x v="6"/>
    <x v="160"/>
  </r>
  <r>
    <s v="Queso Cabrales"/>
    <x v="6"/>
    <x v="31"/>
  </r>
  <r>
    <s v="Guaraná Fantástica"/>
    <x v="6"/>
    <x v="34"/>
  </r>
  <r>
    <s v="Perth Pasties"/>
    <x v="6"/>
    <x v="34"/>
  </r>
  <r>
    <s v="Pâté chinois"/>
    <x v="6"/>
    <x v="34"/>
  </r>
  <r>
    <s v="Sasquatch Ale"/>
    <x v="6"/>
    <x v="36"/>
  </r>
  <r>
    <s v="Teatime Chocolate Biscuits"/>
    <x v="6"/>
    <x v="39"/>
  </r>
  <r>
    <s v="Tarte au sucre"/>
    <x v="6"/>
    <x v="39"/>
  </r>
  <r>
    <s v="Geitost"/>
    <x v="6"/>
    <x v="40"/>
  </r>
  <r>
    <s v="Alice Mutton"/>
    <x v="6"/>
    <x v="40"/>
  </r>
  <r>
    <s v="Gula Malacca"/>
    <x v="6"/>
    <x v="170"/>
  </r>
  <r>
    <s v="Louisiana Fiery Hot Pepper Sauce"/>
    <x v="6"/>
    <x v="42"/>
  </r>
  <r>
    <s v="Singaporean Hokkien Fried Mee"/>
    <x v="6"/>
    <x v="110"/>
  </r>
  <r>
    <s v="Inlagd Sill"/>
    <x v="6"/>
    <x v="81"/>
  </r>
  <r>
    <s v="Zaanse koeken"/>
    <x v="6"/>
    <x v="81"/>
  </r>
  <r>
    <s v="Camembert Pierrot"/>
    <x v="6"/>
    <x v="132"/>
  </r>
  <r>
    <s v="Jack's New England Clam Chowder"/>
    <x v="6"/>
    <x v="83"/>
  </r>
  <r>
    <s v="Nord-Ost Matjeshering"/>
    <x v="6"/>
    <x v="44"/>
  </r>
  <r>
    <s v="Steeleye Stout"/>
    <x v="6"/>
    <x v="44"/>
  </r>
  <r>
    <s v="Original Frankfurter grüne Soße"/>
    <x v="6"/>
    <x v="165"/>
  </r>
  <r>
    <s v="Carnarvon Tigers"/>
    <x v="6"/>
    <x v="165"/>
  </r>
  <r>
    <s v="Pavlova"/>
    <x v="6"/>
    <x v="111"/>
  </r>
  <r>
    <s v="Thüringer Rostbratwurst"/>
    <x v="6"/>
    <x v="46"/>
  </r>
  <r>
    <s v="Chai"/>
    <x v="6"/>
    <x v="46"/>
  </r>
  <r>
    <s v="Mascarpone Fabioli"/>
    <x v="6"/>
    <x v="46"/>
  </r>
  <r>
    <s v="Gudbrandsdalsost"/>
    <x v="6"/>
    <x v="46"/>
  </r>
  <r>
    <s v="Ravioli Angelo"/>
    <x v="6"/>
    <x v="46"/>
  </r>
  <r>
    <s v="Genen Shouyu"/>
    <x v="6"/>
    <x v="46"/>
  </r>
  <r>
    <s v="Chartreuse verte"/>
    <x v="6"/>
    <x v="46"/>
  </r>
  <r>
    <s v="Vegie-spread"/>
    <x v="6"/>
    <x v="86"/>
  </r>
  <r>
    <s v="Ikura"/>
    <x v="6"/>
    <x v="87"/>
  </r>
  <r>
    <s v="Röd Kaviar"/>
    <x v="6"/>
    <x v="48"/>
  </r>
  <r>
    <s v="Raclette Courdavault"/>
    <x v="7"/>
    <x v="142"/>
  </r>
  <r>
    <s v="Camembert Pierrot"/>
    <x v="7"/>
    <x v="94"/>
  </r>
  <r>
    <s v="Alice Mutton"/>
    <x v="7"/>
    <x v="8"/>
  </r>
  <r>
    <s v="Pavlova"/>
    <x v="7"/>
    <x v="61"/>
  </r>
  <r>
    <s v="Sirop d'érable"/>
    <x v="7"/>
    <x v="101"/>
  </r>
  <r>
    <s v="Chang"/>
    <x v="7"/>
    <x v="171"/>
  </r>
  <r>
    <s v="Original Frankfurter grüne Soße"/>
    <x v="7"/>
    <x v="172"/>
  </r>
  <r>
    <s v="Singaporean Hokkien Fried Mee"/>
    <x v="7"/>
    <x v="12"/>
  </r>
  <r>
    <s v="Lakkalikööri"/>
    <x v="7"/>
    <x v="173"/>
  </r>
  <r>
    <s v="Inlagd Sill"/>
    <x v="7"/>
    <x v="122"/>
  </r>
  <r>
    <s v="Geitost"/>
    <x v="7"/>
    <x v="105"/>
  </r>
  <r>
    <s v="Boston Crab Meat"/>
    <x v="7"/>
    <x v="124"/>
  </r>
  <r>
    <s v="Gudbrandsdalsost"/>
    <x v="7"/>
    <x v="18"/>
  </r>
  <r>
    <s v="Ravioli Angelo"/>
    <x v="7"/>
    <x v="18"/>
  </r>
  <r>
    <s v="Maxilaku"/>
    <x v="7"/>
    <x v="174"/>
  </r>
  <r>
    <s v="Ikura"/>
    <x v="7"/>
    <x v="107"/>
  </r>
  <r>
    <s v="Guaraná Fantástica"/>
    <x v="7"/>
    <x v="71"/>
  </r>
  <r>
    <s v="Chef Anton's Gumbo Mix"/>
    <x v="7"/>
    <x v="20"/>
  </r>
  <r>
    <s v="Schoggi Schokolade"/>
    <x v="7"/>
    <x v="154"/>
  </r>
  <r>
    <s v="Manjimup Dried Apples"/>
    <x v="7"/>
    <x v="154"/>
  </r>
  <r>
    <s v="Steeleye Stout"/>
    <x v="7"/>
    <x v="21"/>
  </r>
  <r>
    <s v="Uncle Bob's Organic Dried Pears"/>
    <x v="7"/>
    <x v="24"/>
  </r>
  <r>
    <s v="Rhönbräu Klosterbier"/>
    <x v="7"/>
    <x v="24"/>
  </r>
  <r>
    <s v="Konbu"/>
    <x v="7"/>
    <x v="26"/>
  </r>
  <r>
    <s v="Sir Rodney's Marmalade"/>
    <x v="7"/>
    <x v="127"/>
  </r>
  <r>
    <s v="Nord-Ost Matjeshering"/>
    <x v="7"/>
    <x v="28"/>
  </r>
  <r>
    <s v="Longlife Tofu"/>
    <x v="7"/>
    <x v="75"/>
  </r>
  <r>
    <s v="Outback Lager"/>
    <x v="7"/>
    <x v="76"/>
  </r>
  <r>
    <s v="Tourtière"/>
    <x v="7"/>
    <x v="77"/>
  </r>
  <r>
    <s v="Gustaf's Knäckebröd"/>
    <x v="7"/>
    <x v="77"/>
  </r>
  <r>
    <s v="Chartreuse verte"/>
    <x v="7"/>
    <x v="156"/>
  </r>
  <r>
    <s v="Jack's New England Clam Chowder"/>
    <x v="7"/>
    <x v="78"/>
  </r>
  <r>
    <s v="Gnocchi di nonna Alice"/>
    <x v="7"/>
    <x v="161"/>
  </r>
  <r>
    <s v="Louisiana Fiery Hot Pepper Sauce"/>
    <x v="7"/>
    <x v="128"/>
  </r>
  <r>
    <s v="Pâté chinois"/>
    <x v="7"/>
    <x v="33"/>
  </r>
  <r>
    <s v="Sir Rodney's Scones"/>
    <x v="7"/>
    <x v="129"/>
  </r>
  <r>
    <s v="Mozzarella di Giovanni"/>
    <x v="7"/>
    <x v="79"/>
  </r>
  <r>
    <s v="Carnarvon Tigers"/>
    <x v="7"/>
    <x v="36"/>
  </r>
  <r>
    <s v="Fløtemysost"/>
    <x v="7"/>
    <x v="37"/>
  </r>
  <r>
    <s v="Tarte au sucre"/>
    <x v="7"/>
    <x v="39"/>
  </r>
  <r>
    <s v="Escargots de Bourgogne"/>
    <x v="7"/>
    <x v="42"/>
  </r>
  <r>
    <s v="Röd Kaviar"/>
    <x v="7"/>
    <x v="42"/>
  </r>
  <r>
    <s v="Chai"/>
    <x v="7"/>
    <x v="43"/>
  </r>
  <r>
    <s v="Filo Mix"/>
    <x v="7"/>
    <x v="110"/>
  </r>
  <r>
    <s v="Queso Cabrales"/>
    <x v="7"/>
    <x v="131"/>
  </r>
  <r>
    <s v="Genen Shouyu"/>
    <x v="7"/>
    <x v="81"/>
  </r>
  <r>
    <s v="Vegie-spread"/>
    <x v="7"/>
    <x v="132"/>
  </r>
  <r>
    <s v="Chef Anton's Cajun Seasoning"/>
    <x v="7"/>
    <x v="44"/>
  </r>
  <r>
    <s v="Gorgonzola Telino"/>
    <x v="7"/>
    <x v="44"/>
  </r>
  <r>
    <s v="Côte de Blaye"/>
    <x v="7"/>
    <x v="45"/>
  </r>
  <r>
    <s v="Zaanse koeken"/>
    <x v="7"/>
    <x v="45"/>
  </r>
  <r>
    <s v="Perth Pasties"/>
    <x v="7"/>
    <x v="45"/>
  </r>
  <r>
    <s v="Aniseed Syrup"/>
    <x v="7"/>
    <x v="175"/>
  </r>
  <r>
    <s v="Queso Manchego La Pastora"/>
    <x v="7"/>
    <x v="111"/>
  </r>
  <r>
    <s v="Gumbär Gummibärchen"/>
    <x v="7"/>
    <x v="176"/>
  </r>
  <r>
    <s v="Thüringer Rostbratwurst"/>
    <x v="7"/>
    <x v="46"/>
  </r>
  <r>
    <s v="Tofu"/>
    <x v="7"/>
    <x v="167"/>
  </r>
  <r>
    <s v="Mascarpone Fabioli"/>
    <x v="7"/>
    <x v="86"/>
  </r>
  <r>
    <s v="Chocolade"/>
    <x v="7"/>
    <x v="86"/>
  </r>
  <r>
    <s v="Gravad lax"/>
    <x v="7"/>
    <x v="49"/>
  </r>
  <r>
    <s v="Boston Crab Meat"/>
    <x v="8"/>
    <x v="177"/>
  </r>
  <r>
    <s v="Tarte au sucre"/>
    <x v="8"/>
    <x v="178"/>
  </r>
  <r>
    <s v="Steeleye Stout"/>
    <x v="8"/>
    <x v="7"/>
  </r>
  <r>
    <s v="Mozzarella di Giovanni"/>
    <x v="8"/>
    <x v="173"/>
  </r>
  <r>
    <s v="Camembert Pierrot"/>
    <x v="8"/>
    <x v="14"/>
  </r>
  <r>
    <s v="Chai"/>
    <x v="8"/>
    <x v="159"/>
  </r>
  <r>
    <s v="Chang"/>
    <x v="8"/>
    <x v="104"/>
  </r>
  <r>
    <s v="Sir Rodney's Scones"/>
    <x v="8"/>
    <x v="65"/>
  </r>
  <r>
    <s v="Gustaf's Knäckebröd"/>
    <x v="8"/>
    <x v="16"/>
  </r>
  <r>
    <s v="Carnarvon Tigers"/>
    <x v="8"/>
    <x v="179"/>
  </r>
  <r>
    <s v="Fløtemysost"/>
    <x v="8"/>
    <x v="18"/>
  </r>
  <r>
    <s v="Gnocchi di nonna Alice"/>
    <x v="8"/>
    <x v="107"/>
  </r>
  <r>
    <s v="Perth Pasties"/>
    <x v="8"/>
    <x v="22"/>
  </r>
  <r>
    <s v="Gula Malacca"/>
    <x v="8"/>
    <x v="72"/>
  </r>
  <r>
    <s v="Grandma's Boysenberry Spread"/>
    <x v="8"/>
    <x v="24"/>
  </r>
  <r>
    <s v="Teatime Chocolate Biscuits"/>
    <x v="8"/>
    <x v="25"/>
  </r>
  <r>
    <s v="Lakkalikööri"/>
    <x v="8"/>
    <x v="26"/>
  </r>
  <r>
    <s v="Rössle Sauerkraut"/>
    <x v="8"/>
    <x v="27"/>
  </r>
  <r>
    <s v="Geitost"/>
    <x v="8"/>
    <x v="125"/>
  </r>
  <r>
    <s v="Guaraná Fantástica"/>
    <x v="8"/>
    <x v="126"/>
  </r>
  <r>
    <s v="Röd Kaviar"/>
    <x v="8"/>
    <x v="28"/>
  </r>
  <r>
    <s v="Ipoh Coffee"/>
    <x v="8"/>
    <x v="28"/>
  </r>
  <r>
    <s v="Ikura"/>
    <x v="8"/>
    <x v="75"/>
  </r>
  <r>
    <s v="Gorgonzola Telino"/>
    <x v="8"/>
    <x v="30"/>
  </r>
  <r>
    <s v="Rhönbräu Klosterbier"/>
    <x v="8"/>
    <x v="160"/>
  </r>
  <r>
    <s v="Inlagd Sill"/>
    <x v="8"/>
    <x v="109"/>
  </r>
  <r>
    <s v="Original Frankfurter grüne Soße"/>
    <x v="8"/>
    <x v="109"/>
  </r>
  <r>
    <s v="Konbu"/>
    <x v="8"/>
    <x v="34"/>
  </r>
  <r>
    <s v="Thüringer Rostbratwurst"/>
    <x v="8"/>
    <x v="79"/>
  </r>
  <r>
    <s v="Chartreuse verte"/>
    <x v="8"/>
    <x v="79"/>
  </r>
  <r>
    <s v="Tourtière"/>
    <x v="8"/>
    <x v="36"/>
  </r>
  <r>
    <s v="Pavlova"/>
    <x v="8"/>
    <x v="36"/>
  </r>
  <r>
    <s v="Spegesild"/>
    <x v="8"/>
    <x v="80"/>
  </r>
  <r>
    <s v="Queso Manchego La Pastora"/>
    <x v="8"/>
    <x v="38"/>
  </r>
  <r>
    <s v="Nord-Ost Matjeshering"/>
    <x v="8"/>
    <x v="38"/>
  </r>
  <r>
    <s v="Scottish Longbreads"/>
    <x v="8"/>
    <x v="38"/>
  </r>
  <r>
    <s v="Uncle Bob's Organic Dried Pears"/>
    <x v="8"/>
    <x v="39"/>
  </r>
  <r>
    <s v="Outback Lager"/>
    <x v="8"/>
    <x v="39"/>
  </r>
  <r>
    <s v="Chef Anton's Gumbo Mix"/>
    <x v="8"/>
    <x v="39"/>
  </r>
  <r>
    <s v="Chef Anton's Cajun Seasoning"/>
    <x v="8"/>
    <x v="39"/>
  </r>
  <r>
    <s v="Gumbär Gummibärchen"/>
    <x v="8"/>
    <x v="39"/>
  </r>
  <r>
    <s v="Pâté chinois"/>
    <x v="8"/>
    <x v="41"/>
  </r>
  <r>
    <s v="Aniseed Syrup"/>
    <x v="8"/>
    <x v="42"/>
  </r>
  <r>
    <s v="Alice Mutton"/>
    <x v="8"/>
    <x v="42"/>
  </r>
  <r>
    <s v="Sir Rodney's Marmalade"/>
    <x v="8"/>
    <x v="131"/>
  </r>
  <r>
    <s v="Valkoinen suklaa"/>
    <x v="8"/>
    <x v="81"/>
  </r>
  <r>
    <s v="Tofu"/>
    <x v="8"/>
    <x v="132"/>
  </r>
  <r>
    <s v="Raclette Courdavault"/>
    <x v="8"/>
    <x v="83"/>
  </r>
  <r>
    <s v="Louisiana Fiery Hot Pepper Sauce"/>
    <x v="8"/>
    <x v="83"/>
  </r>
  <r>
    <s v="Røgede sild"/>
    <x v="8"/>
    <x v="44"/>
  </r>
  <r>
    <s v="Genen Shouyu"/>
    <x v="8"/>
    <x v="44"/>
  </r>
  <r>
    <s v="Gudbrandsdalsost"/>
    <x v="8"/>
    <x v="44"/>
  </r>
  <r>
    <s v="Sirop d'érable"/>
    <x v="8"/>
    <x v="44"/>
  </r>
  <r>
    <s v="Sasquatch Ale"/>
    <x v="8"/>
    <x v="44"/>
  </r>
  <r>
    <s v="Wimmers gute Semmelknödel"/>
    <x v="8"/>
    <x v="165"/>
  </r>
  <r>
    <s v="Manjimup Dried Apples"/>
    <x v="8"/>
    <x v="166"/>
  </r>
  <r>
    <s v="Maxilaku"/>
    <x v="8"/>
    <x v="45"/>
  </r>
  <r>
    <s v="Schoggi Schokolade"/>
    <x v="8"/>
    <x v="45"/>
  </r>
  <r>
    <s v="Vegie-spread"/>
    <x v="8"/>
    <x v="84"/>
  </r>
  <r>
    <s v="Queso Cabrales"/>
    <x v="8"/>
    <x v="46"/>
  </r>
  <r>
    <s v="Tunnbröd"/>
    <x v="8"/>
    <x v="46"/>
  </r>
  <r>
    <s v="Escargots de Bourgogne"/>
    <x v="8"/>
    <x v="86"/>
  </r>
  <r>
    <s v="Laughing Lumberjack Lager"/>
    <x v="8"/>
    <x v="87"/>
  </r>
  <r>
    <s v="Filo Mix"/>
    <x v="8"/>
    <x v="87"/>
  </r>
  <r>
    <s v="Singaporean Hokkien Fried Mee"/>
    <x v="8"/>
    <x v="87"/>
  </r>
  <r>
    <s v="Ravioli Angelo"/>
    <x v="8"/>
    <x v="112"/>
  </r>
  <r>
    <s v="Boston Crab Meat"/>
    <x v="9"/>
    <x v="180"/>
  </r>
  <r>
    <s v="Jack's New England Clam Chowder"/>
    <x v="9"/>
    <x v="181"/>
  </r>
  <r>
    <s v="Tarte au sucre"/>
    <x v="9"/>
    <x v="150"/>
  </r>
  <r>
    <s v="Camembert Pierrot"/>
    <x v="9"/>
    <x v="150"/>
  </r>
  <r>
    <s v="Pavlova"/>
    <x v="9"/>
    <x v="151"/>
  </r>
  <r>
    <s v="Chartreuse verte"/>
    <x v="9"/>
    <x v="182"/>
  </r>
  <r>
    <s v="Escargots de Bourgogne"/>
    <x v="9"/>
    <x v="173"/>
  </r>
  <r>
    <s v="Spegesild"/>
    <x v="9"/>
    <x v="121"/>
  </r>
  <r>
    <s v="Singaporean Hokkien Fried Mee"/>
    <x v="9"/>
    <x v="64"/>
  </r>
  <r>
    <s v="Queso Manchego La Pastora"/>
    <x v="9"/>
    <x v="104"/>
  </r>
  <r>
    <s v="Outback Lager"/>
    <x v="9"/>
    <x v="16"/>
  </r>
  <r>
    <s v="Inlagd Sill"/>
    <x v="9"/>
    <x v="68"/>
  </r>
  <r>
    <s v="Gnocchi di nonna Alice"/>
    <x v="9"/>
    <x v="106"/>
  </r>
  <r>
    <s v="Sir Rodney's Scones"/>
    <x v="9"/>
    <x v="23"/>
  </r>
  <r>
    <s v="Zaanse koeken"/>
    <x v="9"/>
    <x v="72"/>
  </r>
  <r>
    <s v="Thüringer Rostbratwurst"/>
    <x v="9"/>
    <x v="72"/>
  </r>
  <r>
    <s v="Original Frankfurter grüne Soße"/>
    <x v="9"/>
    <x v="24"/>
  </r>
  <r>
    <s v="Alice Mutton"/>
    <x v="9"/>
    <x v="24"/>
  </r>
  <r>
    <s v="Geitost"/>
    <x v="9"/>
    <x v="26"/>
  </r>
  <r>
    <s v="Gudbrandsdalsost"/>
    <x v="9"/>
    <x v="26"/>
  </r>
  <r>
    <s v="Louisiana Fiery Hot Pepper Sauce"/>
    <x v="9"/>
    <x v="73"/>
  </r>
  <r>
    <s v="Rhönbräu Klosterbier"/>
    <x v="9"/>
    <x v="27"/>
  </r>
  <r>
    <s v="Teatime Chocolate Biscuits"/>
    <x v="9"/>
    <x v="125"/>
  </r>
  <r>
    <s v="Ipoh Coffee"/>
    <x v="9"/>
    <x v="155"/>
  </r>
  <r>
    <s v="Raclette Courdavault"/>
    <x v="9"/>
    <x v="156"/>
  </r>
  <r>
    <s v="Röd Kaviar"/>
    <x v="9"/>
    <x v="31"/>
  </r>
  <r>
    <s v="Mishi Kobe Niku"/>
    <x v="9"/>
    <x v="31"/>
  </r>
  <r>
    <s v="Genen Shouyu"/>
    <x v="9"/>
    <x v="31"/>
  </r>
  <r>
    <s v="Gula Malacca"/>
    <x v="9"/>
    <x v="161"/>
  </r>
  <r>
    <s v="Scottish Longbreads"/>
    <x v="9"/>
    <x v="32"/>
  </r>
  <r>
    <s v="Gorgonzola Telino"/>
    <x v="9"/>
    <x v="32"/>
  </r>
  <r>
    <s v="Ikura"/>
    <x v="9"/>
    <x v="33"/>
  </r>
  <r>
    <s v="Gumbär Gummibärchen"/>
    <x v="9"/>
    <x v="109"/>
  </r>
  <r>
    <s v="Wimmers gute Semmelknödel"/>
    <x v="9"/>
    <x v="34"/>
  </r>
  <r>
    <s v="Tourtière"/>
    <x v="9"/>
    <x v="79"/>
  </r>
  <r>
    <s v="Perth Pasties"/>
    <x v="9"/>
    <x v="36"/>
  </r>
  <r>
    <s v="Manjimup Dried Apples"/>
    <x v="9"/>
    <x v="36"/>
  </r>
  <r>
    <s v="Chang"/>
    <x v="9"/>
    <x v="36"/>
  </r>
  <r>
    <s v="Mascarpone Fabioli"/>
    <x v="9"/>
    <x v="36"/>
  </r>
  <r>
    <s v="Tunnbröd"/>
    <x v="9"/>
    <x v="162"/>
  </r>
  <r>
    <s v="Louisiana Hot Spiced Okra"/>
    <x v="9"/>
    <x v="40"/>
  </r>
  <r>
    <s v="Tofu"/>
    <x v="9"/>
    <x v="163"/>
  </r>
  <r>
    <s v="Chef Anton's Cajun Seasoning"/>
    <x v="9"/>
    <x v="41"/>
  </r>
  <r>
    <s v="Rössle Sauerkraut"/>
    <x v="9"/>
    <x v="41"/>
  </r>
  <r>
    <s v="Fløtemysost"/>
    <x v="9"/>
    <x v="170"/>
  </r>
  <r>
    <s v="Grandma's Boysenberry Spread"/>
    <x v="9"/>
    <x v="42"/>
  </r>
  <r>
    <s v="Maxilaku"/>
    <x v="9"/>
    <x v="42"/>
  </r>
  <r>
    <s v="Carnarvon Tigers"/>
    <x v="9"/>
    <x v="81"/>
  </r>
  <r>
    <s v="Laughing Lumberjack Lager"/>
    <x v="9"/>
    <x v="81"/>
  </r>
  <r>
    <s v="Sir Rodney's Marmalade"/>
    <x v="9"/>
    <x v="83"/>
  </r>
  <r>
    <s v="Chai"/>
    <x v="9"/>
    <x v="44"/>
  </r>
  <r>
    <s v="Mozzarella di Giovanni"/>
    <x v="9"/>
    <x v="44"/>
  </r>
  <r>
    <s v="Gustaf's Knäckebröd"/>
    <x v="9"/>
    <x v="44"/>
  </r>
  <r>
    <s v="Côte de Blaye"/>
    <x v="9"/>
    <x v="45"/>
  </r>
  <r>
    <s v="Sasquatch Ale"/>
    <x v="9"/>
    <x v="175"/>
  </r>
  <r>
    <s v="Nord-Ost Matjeshering"/>
    <x v="9"/>
    <x v="111"/>
  </r>
  <r>
    <s v="Queso Cabrales"/>
    <x v="9"/>
    <x v="111"/>
  </r>
  <r>
    <s v="Lakkalikööri"/>
    <x v="9"/>
    <x v="46"/>
  </r>
  <r>
    <s v="Filo Mix"/>
    <x v="9"/>
    <x v="167"/>
  </r>
  <r>
    <s v="Pâté chinois"/>
    <x v="9"/>
    <x v="47"/>
  </r>
  <r>
    <s v="Fløtemysost"/>
    <x v="10"/>
    <x v="91"/>
  </r>
  <r>
    <s v="Raclette Courdavault"/>
    <x v="10"/>
    <x v="4"/>
  </r>
  <r>
    <s v="Gorgonzola Telino"/>
    <x v="10"/>
    <x v="147"/>
  </r>
  <r>
    <s v="Alice Mutton"/>
    <x v="10"/>
    <x v="183"/>
  </r>
  <r>
    <s v="Tourtière"/>
    <x v="10"/>
    <x v="8"/>
  </r>
  <r>
    <s v="Perth Pasties"/>
    <x v="10"/>
    <x v="184"/>
  </r>
  <r>
    <s v="Gumbär Gummibärchen"/>
    <x v="10"/>
    <x v="185"/>
  </r>
  <r>
    <s v="Outback Lager"/>
    <x v="10"/>
    <x v="102"/>
  </r>
  <r>
    <s v="Røgede sild"/>
    <x v="10"/>
    <x v="12"/>
  </r>
  <r>
    <s v="Steeleye Stout"/>
    <x v="10"/>
    <x v="12"/>
  </r>
  <r>
    <s v="Inlagd Sill"/>
    <x v="10"/>
    <x v="121"/>
  </r>
  <r>
    <s v="Scottish Longbreads"/>
    <x v="10"/>
    <x v="121"/>
  </r>
  <r>
    <s v="Louisiana Fiery Hot Pepper Sauce"/>
    <x v="10"/>
    <x v="121"/>
  </r>
  <r>
    <s v="Ipoh Coffee"/>
    <x v="10"/>
    <x v="64"/>
  </r>
  <r>
    <s v="Vegie-spread"/>
    <x v="10"/>
    <x v="104"/>
  </r>
  <r>
    <s v="Tarte au sucre"/>
    <x v="10"/>
    <x v="123"/>
  </r>
  <r>
    <s v="Chang"/>
    <x v="10"/>
    <x v="179"/>
  </r>
  <r>
    <s v="Rhönbräu Klosterbier"/>
    <x v="10"/>
    <x v="124"/>
  </r>
  <r>
    <s v="Uncle Bob's Organic Dried Pears"/>
    <x v="10"/>
    <x v="67"/>
  </r>
  <r>
    <s v="Mozzarella di Giovanni"/>
    <x v="10"/>
    <x v="67"/>
  </r>
  <r>
    <s v="Lakkalikööri"/>
    <x v="10"/>
    <x v="186"/>
  </r>
  <r>
    <s v="Manjimup Dried Apples"/>
    <x v="10"/>
    <x v="174"/>
  </r>
  <r>
    <s v="Zaanse koeken"/>
    <x v="10"/>
    <x v="174"/>
  </r>
  <r>
    <s v="Gnocchi di nonna Alice"/>
    <x v="10"/>
    <x v="107"/>
  </r>
  <r>
    <s v="Jack's New England Clam Chowder"/>
    <x v="10"/>
    <x v="21"/>
  </r>
  <r>
    <s v="Gula Malacca"/>
    <x v="10"/>
    <x v="21"/>
  </r>
  <r>
    <s v="Rössle Sauerkraut"/>
    <x v="10"/>
    <x v="21"/>
  </r>
  <r>
    <s v="Ikura"/>
    <x v="10"/>
    <x v="22"/>
  </r>
  <r>
    <s v="Escargots de Bourgogne"/>
    <x v="10"/>
    <x v="23"/>
  </r>
  <r>
    <s v="Carnarvon Tigers"/>
    <x v="10"/>
    <x v="23"/>
  </r>
  <r>
    <s v="Spegesild"/>
    <x v="10"/>
    <x v="23"/>
  </r>
  <r>
    <s v="Chai"/>
    <x v="10"/>
    <x v="24"/>
  </r>
  <r>
    <s v="Queso Cabrales"/>
    <x v="10"/>
    <x v="27"/>
  </r>
  <r>
    <s v="Pâté chinois"/>
    <x v="10"/>
    <x v="127"/>
  </r>
  <r>
    <s v="Nord-Ost Matjeshering"/>
    <x v="10"/>
    <x v="127"/>
  </r>
  <r>
    <s v="Pavlova"/>
    <x v="10"/>
    <x v="127"/>
  </r>
  <r>
    <s v="Chef Anton's Cajun Seasoning"/>
    <x v="10"/>
    <x v="29"/>
  </r>
  <r>
    <s v="Ravioli Angelo"/>
    <x v="10"/>
    <x v="76"/>
  </r>
  <r>
    <s v="Gudbrandsdalsost"/>
    <x v="10"/>
    <x v="30"/>
  </r>
  <r>
    <s v="Guaraná Fantástica"/>
    <x v="10"/>
    <x v="30"/>
  </r>
  <r>
    <s v="Thüringer Rostbratwurst"/>
    <x v="10"/>
    <x v="160"/>
  </r>
  <r>
    <s v="Northwoods Cranberry Sauce"/>
    <x v="10"/>
    <x v="31"/>
  </r>
  <r>
    <s v="Röd Kaviar"/>
    <x v="10"/>
    <x v="31"/>
  </r>
  <r>
    <s v="Sir Rodney's Scones"/>
    <x v="10"/>
    <x v="128"/>
  </r>
  <r>
    <s v="Queso Manchego La Pastora"/>
    <x v="10"/>
    <x v="36"/>
  </r>
  <r>
    <s v="Tunnbröd"/>
    <x v="10"/>
    <x v="36"/>
  </r>
  <r>
    <s v="Teatime Chocolate Biscuits"/>
    <x v="10"/>
    <x v="40"/>
  </r>
  <r>
    <s v="Original Frankfurter grüne Soße"/>
    <x v="10"/>
    <x v="42"/>
  </r>
  <r>
    <s v="Gravad lax"/>
    <x v="10"/>
    <x v="110"/>
  </r>
  <r>
    <s v="Filo Mix"/>
    <x v="10"/>
    <x v="110"/>
  </r>
  <r>
    <s v="Sasquatch Ale"/>
    <x v="10"/>
    <x v="131"/>
  </r>
  <r>
    <s v="Chocolade"/>
    <x v="10"/>
    <x v="132"/>
  </r>
  <r>
    <s v="Côte de Blaye"/>
    <x v="10"/>
    <x v="44"/>
  </r>
  <r>
    <s v="Tofu"/>
    <x v="10"/>
    <x v="133"/>
  </r>
  <r>
    <s v="Sirop d'érable"/>
    <x v="10"/>
    <x v="45"/>
  </r>
  <r>
    <s v="Konbu"/>
    <x v="10"/>
    <x v="111"/>
  </r>
  <r>
    <s v="Mascarpone Fabioli"/>
    <x v="10"/>
    <x v="46"/>
  </r>
  <r>
    <s v="Singaporean Hokkien Fried Mee"/>
    <x v="10"/>
    <x v="46"/>
  </r>
  <r>
    <s v="Camembert Pierrot"/>
    <x v="10"/>
    <x v="46"/>
  </r>
  <r>
    <s v="Geitost"/>
    <x v="10"/>
    <x v="85"/>
  </r>
  <r>
    <s v="Grandma's Boysenberry Spread"/>
    <x v="10"/>
    <x v="86"/>
  </r>
  <r>
    <s v="Mishi Kobe Niku"/>
    <x v="10"/>
    <x v="86"/>
  </r>
  <r>
    <s v="Aniseed Syrup"/>
    <x v="10"/>
    <x v="86"/>
  </r>
  <r>
    <s v="Genen Shouyu"/>
    <x v="10"/>
    <x v="87"/>
  </r>
  <r>
    <s v="Chartreuse verte"/>
    <x v="10"/>
    <x v="47"/>
  </r>
  <r>
    <s v="Chef Anton's Gumbo Mix"/>
    <x v="10"/>
    <x v="47"/>
  </r>
  <r>
    <s v="NuNuCa Nuß-Nougat-Creme"/>
    <x v="10"/>
    <x v="47"/>
  </r>
  <r>
    <s v="Camembert Pierrot"/>
    <x v="11"/>
    <x v="187"/>
  </r>
  <r>
    <s v="Gudbrandsdalsost"/>
    <x v="11"/>
    <x v="188"/>
  </r>
  <r>
    <s v="Northwoods Cranberry Sauce"/>
    <x v="11"/>
    <x v="189"/>
  </r>
  <r>
    <s v="Gorgonzola Telino"/>
    <x v="11"/>
    <x v="59"/>
  </r>
  <r>
    <s v="Gnocchi di nonna Alice"/>
    <x v="11"/>
    <x v="11"/>
  </r>
  <r>
    <s v="Tourtière"/>
    <x v="11"/>
    <x v="103"/>
  </r>
  <r>
    <s v="Wimmers gute Semmelknödel"/>
    <x v="11"/>
    <x v="173"/>
  </r>
  <r>
    <s v="Filo Mix"/>
    <x v="11"/>
    <x v="190"/>
  </r>
  <r>
    <s v="Chartreuse verte"/>
    <x v="11"/>
    <x v="64"/>
  </r>
  <r>
    <s v="Boston Crab Meat"/>
    <x v="11"/>
    <x v="159"/>
  </r>
  <r>
    <s v="Raclette Courdavault"/>
    <x v="11"/>
    <x v="66"/>
  </r>
  <r>
    <s v="Gula Malacca"/>
    <x v="11"/>
    <x v="66"/>
  </r>
  <r>
    <s v="Chai"/>
    <x v="11"/>
    <x v="18"/>
  </r>
  <r>
    <s v="Røgede sild"/>
    <x v="11"/>
    <x v="70"/>
  </r>
  <r>
    <s v="Teatime Chocolate Biscuits"/>
    <x v="11"/>
    <x v="107"/>
  </r>
  <r>
    <s v="Louisiana Fiery Hot Pepper Sauce"/>
    <x v="11"/>
    <x v="107"/>
  </r>
  <r>
    <s v="Côte de Blaye"/>
    <x v="11"/>
    <x v="107"/>
  </r>
  <r>
    <s v="Lakkalikööri"/>
    <x v="11"/>
    <x v="20"/>
  </r>
  <r>
    <s v="Sasquatch Ale"/>
    <x v="11"/>
    <x v="153"/>
  </r>
  <r>
    <s v="Valkoinen suklaa"/>
    <x v="11"/>
    <x v="154"/>
  </r>
  <r>
    <s v="Sir Rodney's Scones"/>
    <x v="11"/>
    <x v="154"/>
  </r>
  <r>
    <s v="Pavlova"/>
    <x v="11"/>
    <x v="21"/>
  </r>
  <r>
    <s v="Jack's New England Clam Chowder"/>
    <x v="11"/>
    <x v="23"/>
  </r>
  <r>
    <s v="Tunnbröd"/>
    <x v="11"/>
    <x v="25"/>
  </r>
  <r>
    <s v="Rössle Sauerkraut"/>
    <x v="11"/>
    <x v="26"/>
  </r>
  <r>
    <s v="Ravioli Angelo"/>
    <x v="11"/>
    <x v="125"/>
  </r>
  <r>
    <s v="Chef Anton's Cajun Seasoning"/>
    <x v="11"/>
    <x v="28"/>
  </r>
  <r>
    <s v="Nord-Ost Matjeshering"/>
    <x v="11"/>
    <x v="28"/>
  </r>
  <r>
    <s v="NuNuCa Nuß-Nougat-Creme"/>
    <x v="11"/>
    <x v="28"/>
  </r>
  <r>
    <s v="Alice Mutton"/>
    <x v="11"/>
    <x v="76"/>
  </r>
  <r>
    <s v="Manjimup Dried Apples"/>
    <x v="11"/>
    <x v="31"/>
  </r>
  <r>
    <s v="Gumbär Gummibärchen"/>
    <x v="11"/>
    <x v="32"/>
  </r>
  <r>
    <s v="Inlagd Sill"/>
    <x v="11"/>
    <x v="33"/>
  </r>
  <r>
    <s v="Guaraná Fantástica"/>
    <x v="11"/>
    <x v="109"/>
  </r>
  <r>
    <s v="Carnarvon Tigers"/>
    <x v="11"/>
    <x v="109"/>
  </r>
  <r>
    <s v="Mozzarella di Giovanni"/>
    <x v="11"/>
    <x v="35"/>
  </r>
  <r>
    <s v="Queso Cabrales"/>
    <x v="11"/>
    <x v="79"/>
  </r>
  <r>
    <s v="Outback Lager"/>
    <x v="11"/>
    <x v="36"/>
  </r>
  <r>
    <s v="Tarte au sucre"/>
    <x v="11"/>
    <x v="37"/>
  </r>
  <r>
    <s v="Thüringer Rostbratwurst"/>
    <x v="11"/>
    <x v="37"/>
  </r>
  <r>
    <s v="Rhönbräu Klosterbier"/>
    <x v="11"/>
    <x v="80"/>
  </r>
  <r>
    <s v="Singaporean Hokkien Fried Mee"/>
    <x v="11"/>
    <x v="162"/>
  </r>
  <r>
    <s v="Maxilaku"/>
    <x v="11"/>
    <x v="39"/>
  </r>
  <r>
    <s v="Steeleye Stout"/>
    <x v="11"/>
    <x v="39"/>
  </r>
  <r>
    <s v="Pâté chinois"/>
    <x v="11"/>
    <x v="42"/>
  </r>
  <r>
    <s v="Ikura"/>
    <x v="11"/>
    <x v="42"/>
  </r>
  <r>
    <s v="Grandma's Boysenberry Spread"/>
    <x v="11"/>
    <x v="42"/>
  </r>
  <r>
    <s v="Zaanse koeken"/>
    <x v="11"/>
    <x v="42"/>
  </r>
  <r>
    <s v="Spegesild"/>
    <x v="11"/>
    <x v="110"/>
  </r>
  <r>
    <s v="Tofu"/>
    <x v="11"/>
    <x v="83"/>
  </r>
  <r>
    <s v="Sirop d'érable"/>
    <x v="11"/>
    <x v="44"/>
  </r>
  <r>
    <s v="Aniseed Syrup"/>
    <x v="11"/>
    <x v="44"/>
  </r>
  <r>
    <s v="Chang"/>
    <x v="11"/>
    <x v="45"/>
  </r>
  <r>
    <s v="Röd Kaviar"/>
    <x v="11"/>
    <x v="45"/>
  </r>
  <r>
    <s v="Original Frankfurter grüne Soße"/>
    <x v="11"/>
    <x v="175"/>
  </r>
  <r>
    <s v="Mascarpone Fabioli"/>
    <x v="11"/>
    <x v="46"/>
  </r>
  <r>
    <s v="Scottish Longbreads"/>
    <x v="11"/>
    <x v="46"/>
  </r>
  <r>
    <s v="Konbu"/>
    <x v="11"/>
    <x v="46"/>
  </r>
  <r>
    <s v="Vegie-spread"/>
    <x v="11"/>
    <x v="167"/>
  </r>
  <r>
    <s v="Longlife Tofu"/>
    <x v="11"/>
    <x v="87"/>
  </r>
  <r>
    <s v="Fløtemysost"/>
    <x v="11"/>
    <x v="87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x v="0"/>
    <x v="0"/>
    <x v="0"/>
    <x v="0"/>
  </r>
  <r>
    <x v="1"/>
    <x v="1"/>
    <x v="1"/>
    <x v="0"/>
  </r>
  <r>
    <x v="2"/>
    <x v="2"/>
    <x v="2"/>
    <x v="0"/>
  </r>
  <r>
    <x v="3"/>
    <x v="3"/>
    <x v="3"/>
    <x v="0"/>
  </r>
  <r>
    <x v="4"/>
    <x v="4"/>
    <x v="4"/>
    <x v="0"/>
  </r>
  <r>
    <x v="5"/>
    <x v="5"/>
    <x v="5"/>
    <x v="0"/>
  </r>
  <r>
    <x v="6"/>
    <x v="6"/>
    <x v="6"/>
    <x v="0"/>
  </r>
  <r>
    <x v="7"/>
    <x v="7"/>
    <x v="7"/>
    <x v="0"/>
  </r>
  <r>
    <x v="8"/>
    <x v="8"/>
    <x v="8"/>
    <x v="0"/>
  </r>
  <r>
    <x v="9"/>
    <x v="9"/>
    <x v="9"/>
    <x v="0"/>
  </r>
  <r>
    <x v="10"/>
    <x v="10"/>
    <x v="10"/>
    <x v="0"/>
  </r>
  <r>
    <x v="11"/>
    <x v="11"/>
    <x v="11"/>
    <x v="0"/>
  </r>
  <r>
    <x v="12"/>
    <x v="12"/>
    <x v="12"/>
    <x v="0"/>
  </r>
  <r>
    <x v="13"/>
    <x v="13"/>
    <x v="13"/>
    <x v="0"/>
  </r>
  <r>
    <x v="14"/>
    <x v="14"/>
    <x v="14"/>
    <x v="0"/>
  </r>
  <r>
    <x v="15"/>
    <x v="15"/>
    <x v="15"/>
    <x v="0"/>
  </r>
  <r>
    <x v="16"/>
    <x v="16"/>
    <x v="16"/>
    <x v="0"/>
  </r>
  <r>
    <x v="17"/>
    <x v="17"/>
    <x v="17"/>
    <x v="0"/>
  </r>
  <r>
    <x v="18"/>
    <x v="18"/>
    <x v="18"/>
    <x v="0"/>
  </r>
  <r>
    <x v="19"/>
    <x v="19"/>
    <x v="19"/>
    <x v="0"/>
  </r>
  <r>
    <x v="20"/>
    <x v="20"/>
    <x v="20"/>
    <x v="0"/>
  </r>
  <r>
    <x v="21"/>
    <x v="21"/>
    <x v="21"/>
    <x v="0"/>
  </r>
  <r>
    <x v="22"/>
    <x v="22"/>
    <x v="22"/>
    <x v="0"/>
  </r>
  <r>
    <x v="23"/>
    <x v="23"/>
    <x v="23"/>
    <x v="0"/>
  </r>
  <r>
    <x v="24"/>
    <x v="24"/>
    <x v="24"/>
    <x v="0"/>
  </r>
  <r>
    <x v="25"/>
    <x v="25"/>
    <x v="25"/>
    <x v="0"/>
  </r>
  <r>
    <x v="26"/>
    <x v="26"/>
    <x v="26"/>
    <x v="0"/>
  </r>
  <r>
    <x v="27"/>
    <x v="27"/>
    <x v="27"/>
    <x v="0"/>
  </r>
  <r>
    <x v="28"/>
    <x v="28"/>
    <x v="28"/>
    <x v="0"/>
  </r>
  <r>
    <x v="29"/>
    <x v="29"/>
    <x v="29"/>
    <x v="1"/>
  </r>
  <r>
    <x v="30"/>
    <x v="30"/>
    <x v="30"/>
    <x v="1"/>
  </r>
  <r>
    <x v="31"/>
    <x v="31"/>
    <x v="31"/>
    <x v="1"/>
  </r>
  <r>
    <x v="32"/>
    <x v="32"/>
    <x v="32"/>
    <x v="1"/>
  </r>
  <r>
    <x v="33"/>
    <x v="33"/>
    <x v="33"/>
    <x v="1"/>
  </r>
  <r>
    <x v="34"/>
    <x v="34"/>
    <x v="34"/>
    <x v="1"/>
  </r>
  <r>
    <x v="35"/>
    <x v="35"/>
    <x v="35"/>
    <x v="1"/>
  </r>
  <r>
    <x v="36"/>
    <x v="36"/>
    <x v="36"/>
    <x v="1"/>
  </r>
  <r>
    <x v="37"/>
    <x v="37"/>
    <x v="37"/>
    <x v="1"/>
  </r>
  <r>
    <x v="38"/>
    <x v="38"/>
    <x v="38"/>
    <x v="1"/>
  </r>
  <r>
    <x v="39"/>
    <x v="39"/>
    <x v="39"/>
    <x v="1"/>
  </r>
  <r>
    <x v="40"/>
    <x v="40"/>
    <x v="40"/>
    <x v="1"/>
  </r>
  <r>
    <x v="41"/>
    <x v="41"/>
    <x v="41"/>
    <x v="1"/>
  </r>
  <r>
    <x v="42"/>
    <x v="42"/>
    <x v="42"/>
    <x v="1"/>
  </r>
  <r>
    <x v="43"/>
    <x v="43"/>
    <x v="43"/>
    <x v="1"/>
  </r>
  <r>
    <x v="44"/>
    <x v="44"/>
    <x v="44"/>
    <x v="1"/>
  </r>
  <r>
    <x v="45"/>
    <x v="45"/>
    <x v="45"/>
    <x v="1"/>
  </r>
  <r>
    <x v="46"/>
    <x v="46"/>
    <x v="46"/>
    <x v="1"/>
  </r>
  <r>
    <x v="47"/>
    <x v="47"/>
    <x v="47"/>
    <x v="1"/>
  </r>
  <r>
    <x v="48"/>
    <x v="48"/>
    <x v="48"/>
    <x v="1"/>
  </r>
  <r>
    <x v="49"/>
    <x v="49"/>
    <x v="49"/>
    <x v="1"/>
  </r>
  <r>
    <x v="50"/>
    <x v="50"/>
    <x v="50"/>
    <x v="1"/>
  </r>
  <r>
    <x v="51"/>
    <x v="51"/>
    <x v="51"/>
    <x v="1"/>
  </r>
  <r>
    <x v="52"/>
    <x v="52"/>
    <x v="52"/>
    <x v="1"/>
  </r>
  <r>
    <x v="53"/>
    <x v="53"/>
    <x v="53"/>
    <x v="1"/>
  </r>
  <r>
    <x v="54"/>
    <x v="54"/>
    <x v="54"/>
    <x v="1"/>
  </r>
  <r>
    <x v="55"/>
    <x v="55"/>
    <x v="55"/>
    <x v="1"/>
  </r>
  <r>
    <x v="56"/>
    <x v="56"/>
    <x v="56"/>
    <x v="1"/>
  </r>
  <r>
    <x v="57"/>
    <x v="57"/>
    <x v="57"/>
    <x v="1"/>
  </r>
  <r>
    <x v="58"/>
    <x v="58"/>
    <x v="58"/>
    <x v="1"/>
  </r>
  <r>
    <x v="59"/>
    <x v="59"/>
    <x v="59"/>
    <x v="1"/>
  </r>
  <r>
    <x v="60"/>
    <x v="60"/>
    <x v="60"/>
    <x v="1"/>
  </r>
  <r>
    <x v="61"/>
    <x v="61"/>
    <x v="61"/>
    <x v="1"/>
  </r>
  <r>
    <x v="62"/>
    <x v="62"/>
    <x v="62"/>
    <x v="1"/>
  </r>
  <r>
    <x v="63"/>
    <x v="63"/>
    <x v="63"/>
    <x v="1"/>
  </r>
  <r>
    <x v="64"/>
    <x v="64"/>
    <x v="64"/>
    <x v="1"/>
  </r>
  <r>
    <x v="65"/>
    <x v="65"/>
    <x v="65"/>
    <x v="1"/>
  </r>
  <r>
    <x v="66"/>
    <x v="66"/>
    <x v="66"/>
    <x v="1"/>
  </r>
  <r>
    <x v="67"/>
    <x v="67"/>
    <x v="67"/>
    <x v="1"/>
  </r>
  <r>
    <x v="68"/>
    <x v="68"/>
    <x v="68"/>
    <x v="1"/>
  </r>
  <r>
    <x v="69"/>
    <x v="69"/>
    <x v="69"/>
    <x v="1"/>
  </r>
  <r>
    <x v="70"/>
    <x v="70"/>
    <x v="70"/>
    <x v="2"/>
  </r>
  <r>
    <x v="71"/>
    <x v="71"/>
    <x v="71"/>
    <x v="2"/>
  </r>
  <r>
    <x v="72"/>
    <x v="72"/>
    <x v="72"/>
    <x v="2"/>
  </r>
  <r>
    <x v="73"/>
    <x v="73"/>
    <x v="73"/>
    <x v="2"/>
  </r>
  <r>
    <x v="74"/>
    <x v="74"/>
    <x v="74"/>
    <x v="2"/>
  </r>
  <r>
    <x v="75"/>
    <x v="75"/>
    <x v="75"/>
    <x v="2"/>
  </r>
  <r>
    <x v="76"/>
    <x v="76"/>
    <x v="76"/>
    <x v="2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n v="3"/>
    <n v="5"/>
    <n v="76.75"/>
    <n v="263.5"/>
    <n v="13.25"/>
  </r>
  <r>
    <x v="1"/>
    <n v="3"/>
    <n v="9"/>
    <n v="37.6"/>
    <n v="123.79"/>
    <n v="7.75"/>
  </r>
  <r>
    <x v="2"/>
    <n v="2"/>
    <n v="8"/>
    <n v="33.83"/>
    <n v="62.5"/>
    <n v="7"/>
  </r>
  <r>
    <x v="3"/>
    <n v="2"/>
    <n v="6"/>
    <n v="30.46"/>
    <n v="97"/>
    <n v="6"/>
  </r>
  <r>
    <x v="4"/>
    <n v="1"/>
    <n v="2"/>
    <n v="29.5"/>
    <n v="38"/>
    <n v="21"/>
  </r>
  <r>
    <x v="5"/>
    <n v="2"/>
    <n v="5"/>
    <n v="27.36"/>
    <n v="38"/>
    <n v="12.5"/>
  </r>
  <r>
    <x v="6"/>
    <n v="2"/>
    <n v="4"/>
    <n v="27.31"/>
    <n v="49.3"/>
    <n v="7.45"/>
  </r>
  <r>
    <x v="7"/>
    <n v="1"/>
    <n v="3"/>
    <n v="26.48"/>
    <n v="46"/>
    <n v="14"/>
  </r>
  <r>
    <x v="8"/>
    <n v="2"/>
    <n v="7"/>
    <n v="22.81"/>
    <n v="81"/>
    <n v="9.1999999999999993"/>
  </r>
  <r>
    <x v="9"/>
    <n v="4"/>
    <n v="12"/>
    <n v="20.87"/>
    <n v="40"/>
    <n v="9.65"/>
  </r>
  <r>
    <x v="10"/>
    <n v="1"/>
    <n v="3"/>
    <n v="20"/>
    <n v="36"/>
    <n v="2.5"/>
  </r>
  <r>
    <x v="11"/>
    <n v="1"/>
    <n v="3"/>
    <n v="20"/>
    <n v="26"/>
    <n v="15"/>
  </r>
  <r>
    <x v="12"/>
    <n v="1"/>
    <n v="3"/>
    <n v="18.079999999999998"/>
    <n v="20"/>
    <n v="16.25"/>
  </r>
  <r>
    <x v="13"/>
    <n v="1"/>
    <n v="2"/>
    <n v="15"/>
    <n v="21"/>
    <n v="9"/>
  </r>
  <r>
    <x v="14"/>
    <n v="1"/>
    <n v="2"/>
    <n v="11.13"/>
    <n v="12.75"/>
    <n v="9.5"/>
  </r>
  <r>
    <x v="15"/>
    <n v="1"/>
    <n v="2"/>
    <n v="10.75"/>
    <n v="12"/>
    <n v="9.5"/>
  </r>
  <r>
    <x v="16"/>
    <n v="1"/>
    <n v="1"/>
    <n v="4.5"/>
    <n v="4.5"/>
    <n v="4.5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x v="0"/>
  </r>
  <r>
    <x v="1"/>
    <x v="1"/>
    <x v="0"/>
  </r>
  <r>
    <x v="1"/>
    <x v="2"/>
    <x v="1"/>
  </r>
  <r>
    <x v="2"/>
    <x v="3"/>
    <x v="1"/>
  </r>
  <r>
    <x v="3"/>
    <x v="4"/>
    <x v="1"/>
  </r>
  <r>
    <x v="4"/>
    <x v="5"/>
    <x v="1"/>
  </r>
  <r>
    <x v="4"/>
    <x v="6"/>
    <x v="1"/>
  </r>
  <r>
    <x v="2"/>
    <x v="7"/>
    <x v="2"/>
  </r>
  <r>
    <x v="3"/>
    <x v="8"/>
    <x v="2"/>
  </r>
  <r>
    <x v="2"/>
    <x v="9"/>
    <x v="2"/>
  </r>
  <r>
    <x v="5"/>
    <x v="10"/>
    <x v="2"/>
  </r>
  <r>
    <x v="5"/>
    <x v="11"/>
    <x v="2"/>
  </r>
  <r>
    <x v="3"/>
    <x v="12"/>
    <x v="2"/>
  </r>
  <r>
    <x v="6"/>
    <x v="13"/>
    <x v="2"/>
  </r>
  <r>
    <x v="1"/>
    <x v="14"/>
    <x v="2"/>
  </r>
  <r>
    <x v="1"/>
    <x v="15"/>
    <x v="2"/>
  </r>
  <r>
    <x v="4"/>
    <x v="16"/>
    <x v="2"/>
  </r>
  <r>
    <x v="4"/>
    <x v="17"/>
    <x v="2"/>
  </r>
  <r>
    <x v="0"/>
    <x v="18"/>
    <x v="2"/>
  </r>
  <r>
    <x v="6"/>
    <x v="19"/>
    <x v="3"/>
  </r>
  <r>
    <x v="6"/>
    <x v="20"/>
    <x v="3"/>
  </r>
  <r>
    <x v="7"/>
    <x v="21"/>
    <x v="3"/>
  </r>
  <r>
    <x v="7"/>
    <x v="18"/>
    <x v="3"/>
  </r>
  <r>
    <x v="7"/>
    <x v="22"/>
    <x v="3"/>
  </r>
  <r>
    <x v="7"/>
    <x v="19"/>
    <x v="3"/>
  </r>
  <r>
    <x v="7"/>
    <x v="20"/>
    <x v="3"/>
  </r>
  <r>
    <x v="2"/>
    <x v="23"/>
    <x v="3"/>
  </r>
  <r>
    <x v="2"/>
    <x v="22"/>
    <x v="3"/>
  </r>
  <r>
    <x v="2"/>
    <x v="24"/>
    <x v="3"/>
  </r>
  <r>
    <x v="2"/>
    <x v="25"/>
    <x v="3"/>
  </r>
  <r>
    <x v="2"/>
    <x v="20"/>
    <x v="3"/>
  </r>
  <r>
    <x v="3"/>
    <x v="14"/>
    <x v="3"/>
  </r>
  <r>
    <x v="3"/>
    <x v="26"/>
    <x v="3"/>
  </r>
  <r>
    <x v="3"/>
    <x v="25"/>
    <x v="3"/>
  </r>
  <r>
    <x v="3"/>
    <x v="19"/>
    <x v="3"/>
  </r>
  <r>
    <x v="3"/>
    <x v="27"/>
    <x v="3"/>
  </r>
  <r>
    <x v="0"/>
    <x v="8"/>
    <x v="3"/>
  </r>
  <r>
    <x v="0"/>
    <x v="28"/>
    <x v="3"/>
  </r>
  <r>
    <x v="0"/>
    <x v="26"/>
    <x v="3"/>
  </r>
  <r>
    <x v="0"/>
    <x v="22"/>
    <x v="3"/>
  </r>
  <r>
    <x v="0"/>
    <x v="25"/>
    <x v="3"/>
  </r>
  <r>
    <x v="0"/>
    <x v="19"/>
    <x v="3"/>
  </r>
  <r>
    <x v="1"/>
    <x v="28"/>
    <x v="3"/>
  </r>
  <r>
    <x v="1"/>
    <x v="25"/>
    <x v="3"/>
  </r>
  <r>
    <x v="5"/>
    <x v="21"/>
    <x v="3"/>
  </r>
  <r>
    <x v="5"/>
    <x v="26"/>
    <x v="3"/>
  </r>
  <r>
    <x v="5"/>
    <x v="19"/>
    <x v="3"/>
  </r>
  <r>
    <x v="6"/>
    <x v="21"/>
    <x v="3"/>
  </r>
  <r>
    <x v="6"/>
    <x v="25"/>
    <x v="3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x v="0"/>
    <n v="2"/>
    <n v="140.75"/>
    <n v="263.5"/>
    <n v="18"/>
  </r>
  <r>
    <x v="1"/>
    <x v="1"/>
    <n v="1"/>
    <n v="123.79"/>
    <n v="123.79"/>
    <n v="123.79"/>
  </r>
  <r>
    <x v="2"/>
    <x v="1"/>
    <n v="1"/>
    <n v="97"/>
    <n v="97"/>
    <n v="97"/>
  </r>
  <r>
    <x v="3"/>
    <x v="2"/>
    <n v="1"/>
    <n v="62.5"/>
    <n v="62.5"/>
    <n v="62.5"/>
  </r>
  <r>
    <x v="3"/>
    <x v="3"/>
    <n v="1"/>
    <n v="53"/>
    <n v="53"/>
    <n v="53"/>
  </r>
  <r>
    <x v="4"/>
    <x v="4"/>
    <n v="1"/>
    <n v="49.3"/>
    <n v="49.3"/>
    <n v="49.3"/>
  </r>
  <r>
    <x v="5"/>
    <x v="0"/>
    <n v="1"/>
    <n v="46"/>
    <n v="46"/>
    <n v="46"/>
  </r>
  <r>
    <x v="1"/>
    <x v="3"/>
    <n v="1"/>
    <n v="45.6"/>
    <n v="45.6"/>
    <n v="45.6"/>
  </r>
  <r>
    <x v="0"/>
    <x v="5"/>
    <n v="2"/>
    <n v="44.5"/>
    <n v="55"/>
    <n v="34"/>
  </r>
  <r>
    <x v="3"/>
    <x v="6"/>
    <n v="1"/>
    <n v="43.9"/>
    <n v="43.9"/>
    <n v="43.9"/>
  </r>
  <r>
    <x v="3"/>
    <x v="1"/>
    <n v="2"/>
    <n v="35.9"/>
    <n v="39"/>
    <n v="32.799999999999997"/>
  </r>
  <r>
    <x v="1"/>
    <x v="7"/>
    <n v="1"/>
    <n v="33.25"/>
    <n v="33.25"/>
    <n v="33.25"/>
  </r>
  <r>
    <x v="6"/>
    <x v="3"/>
    <n v="1"/>
    <n v="30"/>
    <n v="30"/>
    <n v="30"/>
  </r>
  <r>
    <x v="1"/>
    <x v="4"/>
    <n v="3"/>
    <n v="29.71"/>
    <n v="43.9"/>
    <n v="14"/>
  </r>
  <r>
    <x v="7"/>
    <x v="5"/>
    <n v="2"/>
    <n v="29.5"/>
    <n v="38"/>
    <n v="21"/>
  </r>
  <r>
    <x v="8"/>
    <x v="7"/>
    <n v="2"/>
    <n v="28.75"/>
    <n v="38"/>
    <n v="19.5"/>
  </r>
  <r>
    <x v="4"/>
    <x v="6"/>
    <n v="1"/>
    <n v="28.5"/>
    <n v="28.5"/>
    <n v="28.5"/>
  </r>
  <r>
    <x v="9"/>
    <x v="4"/>
    <n v="4"/>
    <n v="28.18"/>
    <n v="81"/>
    <n v="9.1999999999999993"/>
  </r>
  <r>
    <x v="8"/>
    <x v="5"/>
    <n v="3"/>
    <n v="26.43"/>
    <n v="34.799999999999997"/>
    <n v="12.5"/>
  </r>
  <r>
    <x v="1"/>
    <x v="2"/>
    <n v="1"/>
    <n v="25.89"/>
    <n v="25.89"/>
    <n v="25.89"/>
  </r>
  <r>
    <x v="6"/>
    <x v="6"/>
    <n v="6"/>
    <n v="24.4"/>
    <n v="40"/>
    <n v="17"/>
  </r>
  <r>
    <x v="10"/>
    <x v="5"/>
    <n v="3"/>
    <n v="20"/>
    <n v="36"/>
    <n v="2.5"/>
  </r>
  <r>
    <x v="11"/>
    <x v="2"/>
    <n v="3"/>
    <n v="20"/>
    <n v="26"/>
    <n v="15"/>
  </r>
  <r>
    <x v="5"/>
    <x v="6"/>
    <n v="1"/>
    <n v="19.45"/>
    <n v="19.45"/>
    <n v="19.45"/>
  </r>
  <r>
    <x v="9"/>
    <x v="0"/>
    <n v="2"/>
    <n v="18.5"/>
    <n v="19"/>
    <n v="18"/>
  </r>
  <r>
    <x v="2"/>
    <x v="2"/>
    <n v="2"/>
    <n v="18.5"/>
    <n v="31"/>
    <n v="6"/>
  </r>
  <r>
    <x v="12"/>
    <x v="4"/>
    <n v="2"/>
    <n v="18.13"/>
    <n v="20"/>
    <n v="16.25"/>
  </r>
  <r>
    <x v="12"/>
    <x v="0"/>
    <n v="1"/>
    <n v="18"/>
    <n v="18"/>
    <n v="18"/>
  </r>
  <r>
    <x v="3"/>
    <x v="4"/>
    <n v="1"/>
    <n v="17.45"/>
    <n v="17.45"/>
    <n v="17.45"/>
  </r>
  <r>
    <x v="2"/>
    <x v="3"/>
    <n v="2"/>
    <n v="16.63"/>
    <n v="23.25"/>
    <n v="10"/>
  </r>
  <r>
    <x v="4"/>
    <x v="1"/>
    <n v="2"/>
    <n v="15.73"/>
    <n v="24"/>
    <n v="7.45"/>
  </r>
  <r>
    <x v="2"/>
    <x v="6"/>
    <n v="1"/>
    <n v="15.5"/>
    <n v="15.5"/>
    <n v="15.5"/>
  </r>
  <r>
    <x v="6"/>
    <x v="0"/>
    <n v="3"/>
    <n v="15.33"/>
    <n v="18"/>
    <n v="14"/>
  </r>
  <r>
    <x v="3"/>
    <x v="0"/>
    <n v="1"/>
    <n v="15"/>
    <n v="15"/>
    <n v="15"/>
  </r>
  <r>
    <x v="13"/>
    <x v="7"/>
    <n v="2"/>
    <n v="15"/>
    <n v="21"/>
    <n v="9"/>
  </r>
  <r>
    <x v="6"/>
    <x v="2"/>
    <n v="2"/>
    <n v="14.03"/>
    <n v="18.399999999999999"/>
    <n v="9.65"/>
  </r>
  <r>
    <x v="5"/>
    <x v="7"/>
    <n v="1"/>
    <n v="14"/>
    <n v="14"/>
    <n v="14"/>
  </r>
  <r>
    <x v="0"/>
    <x v="2"/>
    <n v="1"/>
    <n v="13.25"/>
    <n v="13.25"/>
    <n v="13.25"/>
  </r>
  <r>
    <x v="1"/>
    <x v="6"/>
    <n v="1"/>
    <n v="13"/>
    <n v="13"/>
    <n v="13"/>
  </r>
  <r>
    <x v="14"/>
    <x v="4"/>
    <n v="2"/>
    <n v="11.13"/>
    <n v="12.75"/>
    <n v="9.5"/>
  </r>
  <r>
    <x v="15"/>
    <x v="2"/>
    <n v="2"/>
    <n v="10.75"/>
    <n v="12"/>
    <n v="9.5"/>
  </r>
  <r>
    <x v="9"/>
    <x v="6"/>
    <n v="1"/>
    <n v="10"/>
    <n v="10"/>
    <n v="10"/>
  </r>
  <r>
    <x v="1"/>
    <x v="0"/>
    <n v="1"/>
    <n v="7.75"/>
    <n v="7.75"/>
    <n v="7.75"/>
  </r>
  <r>
    <x v="3"/>
    <x v="7"/>
    <n v="1"/>
    <n v="7"/>
    <n v="7"/>
    <n v="7"/>
  </r>
  <r>
    <x v="16"/>
    <x v="0"/>
    <n v="1"/>
    <n v="4.5"/>
    <n v="4.5"/>
    <n v="4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4F9DF6-9F40-4B7D-AEC9-182FA1EEF806}" name="PivotTable2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68:I90" firstHeaderRow="1" firstDataRow="1" firstDataCol="1"/>
  <pivotFields count="6">
    <pivotField axis="axisRow" showAll="0">
      <items count="22">
        <item x="10"/>
        <item x="3"/>
        <item x="15"/>
        <item x="1"/>
        <item x="13"/>
        <item x="14"/>
        <item x="11"/>
        <item x="9"/>
        <item x="4"/>
        <item x="7"/>
        <item x="16"/>
        <item x="5"/>
        <item x="20"/>
        <item x="19"/>
        <item x="12"/>
        <item x="18"/>
        <item x="6"/>
        <item x="17"/>
        <item x="0"/>
        <item x="2"/>
        <item x="8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total_order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8FD12C-AB80-41D4-9EB7-FF084A891773}" name="PivotTable2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H30:I41" firstHeaderRow="1" firstDataRow="1" firstDataCol="1"/>
  <pivotFields count="6">
    <pivotField showAll="0"/>
    <pivotField axis="axisRow" showAll="0" measureFilter="1">
      <items count="70">
        <item x="25"/>
        <item x="61"/>
        <item x="10"/>
        <item x="34"/>
        <item x="58"/>
        <item x="22"/>
        <item x="30"/>
        <item x="55"/>
        <item x="49"/>
        <item x="3"/>
        <item x="7"/>
        <item x="20"/>
        <item x="43"/>
        <item x="13"/>
        <item x="66"/>
        <item x="40"/>
        <item x="68"/>
        <item x="28"/>
        <item x="9"/>
        <item x="32"/>
        <item x="5"/>
        <item x="53"/>
        <item x="39"/>
        <item x="14"/>
        <item x="41"/>
        <item x="4"/>
        <item x="44"/>
        <item x="27"/>
        <item x="47"/>
        <item x="37"/>
        <item x="63"/>
        <item x="38"/>
        <item x="57"/>
        <item x="52"/>
        <item x="18"/>
        <item x="0"/>
        <item x="8"/>
        <item x="31"/>
        <item x="6"/>
        <item x="15"/>
        <item x="50"/>
        <item x="46"/>
        <item x="48"/>
        <item x="12"/>
        <item x="19"/>
        <item x="45"/>
        <item x="16"/>
        <item x="64"/>
        <item x="24"/>
        <item x="29"/>
        <item x="54"/>
        <item x="33"/>
        <item x="1"/>
        <item x="2"/>
        <item x="35"/>
        <item x="11"/>
        <item x="60"/>
        <item x="21"/>
        <item x="42"/>
        <item x="56"/>
        <item x="26"/>
        <item x="36"/>
        <item x="62"/>
        <item x="17"/>
        <item x="23"/>
        <item x="65"/>
        <item x="59"/>
        <item x="67"/>
        <item x="51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11">
    <i>
      <x v="2"/>
    </i>
    <i>
      <x v="9"/>
    </i>
    <i>
      <x v="10"/>
    </i>
    <i>
      <x v="11"/>
    </i>
    <i>
      <x v="18"/>
    </i>
    <i>
      <x v="20"/>
    </i>
    <i>
      <x v="25"/>
    </i>
    <i>
      <x v="36"/>
    </i>
    <i>
      <x v="39"/>
    </i>
    <i>
      <x v="44"/>
    </i>
    <i t="grand">
      <x/>
    </i>
  </rowItems>
  <colItems count="1">
    <i/>
  </colItems>
  <dataFields count="1">
    <dataField name="Average of revenue_per_customer" fld="5" subtotal="average" baseField="1" baseItem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8DBE97-F046-4BC8-8AE2-1A5DE852DE52}" name="PivotTable2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I35:J40" firstHeaderRow="1" firstDataRow="1" firstDataCol="1"/>
  <pivotFields count="6">
    <pivotField dataField="1"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A2902A-C99F-49B4-9881-C03B7902D40F}" name="PivotTable2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I64:J73" firstHeaderRow="1" firstDataRow="1" firstDataCol="1"/>
  <pivotFields count="6">
    <pivotField showAll="0"/>
    <pivotField showAll="0"/>
    <pivotField axis="axisRow" showAll="0">
      <items count="9">
        <item x="1"/>
        <item x="4"/>
        <item x="5"/>
        <item x="0"/>
        <item x="7"/>
        <item x="2"/>
        <item x="6"/>
        <item x="3"/>
        <item t="default"/>
      </items>
    </pivotField>
    <pivotField showAll="0"/>
    <pivotField showAll="0"/>
    <pivotField dataField="1" showAll="0">
      <items count="5">
        <item x="3"/>
        <item x="0"/>
        <item x="1"/>
        <item x="2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customer_segment" fld="5" subtotal="count" baseField="0" baseItem="0"/>
  </dataFields>
  <chartFormats count="9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59C04E-4096-435F-AEB0-2866A3B9C318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H58:I69" firstHeaderRow="1" firstDataRow="1" firstDataCol="1"/>
  <pivotFields count="5">
    <pivotField axis="axisRow" showAll="0" measureFilter="1">
      <items count="78">
        <item x="34"/>
        <item x="24"/>
        <item x="70"/>
        <item x="46"/>
        <item x="58"/>
        <item x="53"/>
        <item x="13"/>
        <item x="35"/>
        <item x="51"/>
        <item x="16"/>
        <item x="33"/>
        <item x="37"/>
        <item x="59"/>
        <item x="49"/>
        <item x="74"/>
        <item x="22"/>
        <item x="7"/>
        <item x="8"/>
        <item x="56"/>
        <item x="12"/>
        <item x="41"/>
        <item x="52"/>
        <item x="62"/>
        <item x="61"/>
        <item x="66"/>
        <item x="18"/>
        <item x="26"/>
        <item x="9"/>
        <item x="1"/>
        <item x="32"/>
        <item x="27"/>
        <item x="47"/>
        <item x="75"/>
        <item x="54"/>
        <item x="30"/>
        <item x="31"/>
        <item x="71"/>
        <item x="0"/>
        <item x="36"/>
        <item x="20"/>
        <item x="43"/>
        <item x="45"/>
        <item x="11"/>
        <item x="39"/>
        <item x="63"/>
        <item x="55"/>
        <item x="65"/>
        <item x="76"/>
        <item x="40"/>
        <item x="68"/>
        <item x="6"/>
        <item x="69"/>
        <item x="17"/>
        <item x="60"/>
        <item x="21"/>
        <item x="5"/>
        <item x="50"/>
        <item x="57"/>
        <item x="2"/>
        <item x="4"/>
        <item x="28"/>
        <item x="3"/>
        <item x="23"/>
        <item x="15"/>
        <item x="29"/>
        <item x="67"/>
        <item x="73"/>
        <item x="44"/>
        <item x="14"/>
        <item x="38"/>
        <item x="19"/>
        <item x="10"/>
        <item x="64"/>
        <item x="72"/>
        <item x="48"/>
        <item x="25"/>
        <item x="42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11">
    <i>
      <x v="16"/>
    </i>
    <i>
      <x v="17"/>
    </i>
    <i>
      <x v="27"/>
    </i>
    <i>
      <x v="28"/>
    </i>
    <i>
      <x v="37"/>
    </i>
    <i>
      <x v="50"/>
    </i>
    <i>
      <x v="55"/>
    </i>
    <i>
      <x v="58"/>
    </i>
    <i>
      <x v="59"/>
    </i>
    <i>
      <x v="61"/>
    </i>
    <i t="grand">
      <x/>
    </i>
  </rowItems>
  <colItems count="1">
    <i/>
  </colItems>
  <dataFields count="1">
    <dataField name="Sum of contribution_percentage" fld="3" baseField="0" baseItem="0"/>
  </dataFields>
  <chartFormats count="1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55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59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6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404D45-5886-437E-B40D-D8AD00A8E8FE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H23:I34" firstHeaderRow="1" firstDataRow="1" firstDataCol="1"/>
  <pivotFields count="5">
    <pivotField axis="axisRow" showAll="0" measureFilter="1">
      <items count="78">
        <item x="34"/>
        <item x="24"/>
        <item x="70"/>
        <item x="46"/>
        <item x="58"/>
        <item x="53"/>
        <item x="13"/>
        <item x="35"/>
        <item x="51"/>
        <item x="16"/>
        <item x="33"/>
        <item x="37"/>
        <item x="59"/>
        <item x="49"/>
        <item x="74"/>
        <item x="22"/>
        <item x="7"/>
        <item x="8"/>
        <item x="56"/>
        <item x="12"/>
        <item x="41"/>
        <item x="52"/>
        <item x="62"/>
        <item x="61"/>
        <item x="66"/>
        <item x="18"/>
        <item x="26"/>
        <item x="9"/>
        <item x="1"/>
        <item x="32"/>
        <item x="27"/>
        <item x="47"/>
        <item x="75"/>
        <item x="54"/>
        <item x="30"/>
        <item x="31"/>
        <item x="71"/>
        <item x="0"/>
        <item x="36"/>
        <item x="20"/>
        <item x="43"/>
        <item x="45"/>
        <item x="11"/>
        <item x="39"/>
        <item x="63"/>
        <item x="55"/>
        <item x="65"/>
        <item x="76"/>
        <item x="40"/>
        <item x="68"/>
        <item x="6"/>
        <item x="69"/>
        <item x="17"/>
        <item x="60"/>
        <item x="21"/>
        <item x="5"/>
        <item x="50"/>
        <item x="57"/>
        <item x="2"/>
        <item x="4"/>
        <item x="28"/>
        <item x="3"/>
        <item x="23"/>
        <item x="15"/>
        <item x="29"/>
        <item x="67"/>
        <item x="73"/>
        <item x="44"/>
        <item x="14"/>
        <item x="38"/>
        <item x="19"/>
        <item x="10"/>
        <item x="64"/>
        <item x="72"/>
        <item x="48"/>
        <item x="25"/>
        <item x="42"/>
        <item t="default"/>
      </items>
    </pivotField>
    <pivotField dataField="1" showAll="0"/>
    <pivotField showAll="0"/>
    <pivotField showAll="0"/>
    <pivotField showAll="0"/>
  </pivotFields>
  <rowFields count="1">
    <field x="0"/>
  </rowFields>
  <rowItems count="11">
    <i>
      <x v="16"/>
    </i>
    <i>
      <x v="17"/>
    </i>
    <i>
      <x v="27"/>
    </i>
    <i>
      <x v="28"/>
    </i>
    <i>
      <x v="37"/>
    </i>
    <i>
      <x v="50"/>
    </i>
    <i>
      <x v="55"/>
    </i>
    <i>
      <x v="58"/>
    </i>
    <i>
      <x v="59"/>
    </i>
    <i>
      <x v="61"/>
    </i>
    <i t="grand">
      <x/>
    </i>
  </rowItems>
  <colItems count="1">
    <i/>
  </colItems>
  <dataFields count="1">
    <dataField name="Sum of product_wise_revenue" fld="1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E68EC-9699-49A3-82CF-01D4DA62A4E1}" name="PivotTable1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G34:H39" firstHeaderRow="1" firstDataRow="1" firstDataCol="1"/>
  <pivotFields count="4"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vg_ord_per_cust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DD0033-A821-4042-A4A5-F96E096F4249}" name="PivotTable1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4:B49" firstHeaderRow="1" firstDataRow="1" firstDataCol="1"/>
  <pivotFields count="4">
    <pivotField axis="axisRow" showAll="0">
      <items count="5">
        <item x="2"/>
        <item x="1"/>
        <item x="0"/>
        <item x="3"/>
        <item t="default"/>
      </items>
    </pivotField>
    <pivotField dataField="1"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ustomer_count" fld="1" baseField="0" baseItem="0"/>
  </dataFields>
  <chartFormats count="5"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CF5D82-80BF-4684-8D35-36B3D1417FC8}" name="PivotTable15" cacheId="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">
  <location ref="B33:G40" firstHeaderRow="1" firstDataRow="2" firstDataCol="1"/>
  <pivotFields count="4">
    <pivotField showAll="0"/>
    <pivotField axis="axisRow" showAll="0">
      <items count="6">
        <item x="1"/>
        <item x="0"/>
        <item x="3"/>
        <item x="4"/>
        <item x="2"/>
        <item t="default"/>
      </items>
    </pivotField>
    <pivotField axis="axisCol" showAll="0">
      <items count="5">
        <item x="3"/>
        <item x="2"/>
        <item x="0"/>
        <item x="1"/>
        <item t="default"/>
      </items>
    </pivotField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employee_count" fld="3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471A62-EBF3-47FA-9DA2-E83E2407FCF4}" name="PivotTable1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K27:L33" firstHeaderRow="1" firstDataRow="1" firstDataCol="1"/>
  <pivotFields count="4">
    <pivotField showAll="0"/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employee_count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B8E25E-C1E0-4D02-A426-A36CEB44A123}" name="PivotTable1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K2:L7" firstHeaderRow="1" firstDataRow="1" firstDataCol="1"/>
  <pivotFields count="4"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employee_count" fld="3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E9A9B7-24F8-41B0-8CE1-078592E32F68}" name="PivotTable1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G21:H25" firstHeaderRow="1" firstDataRow="1" firstDataCol="1"/>
  <pivotFields count="3">
    <pivotField dataField="1"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_nam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FC19CD-45B6-4D1B-B26B-25F2F65766BB}" name="PivotTable17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34:C39" firstHeaderRow="1" firstDataRow="1" firstDataCol="1"/>
  <pivotFields count="3">
    <pivotField showAll="0"/>
    <pivotField axis="axisRow" showAll="0">
      <items count="5">
        <item x="3"/>
        <item x="2"/>
        <item x="0"/>
        <item x="1"/>
        <item t="default"/>
      </items>
    </pivotField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hire_year" fld="2" subtotal="average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869D42-2F1C-4713-ACD2-87482FF6DB6E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21:K26" firstHeaderRow="1" firstDataRow="1" firstDataCol="1"/>
  <pivotFields count="6">
    <pivotField axis="axisRow" showAll="0">
      <items count="5">
        <item x="1"/>
        <item x="3"/>
        <item x="0"/>
        <item x="2"/>
        <item t="default"/>
      </items>
    </pivotField>
    <pivotField dataField="1"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employeecount" fld="1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887904-282B-4649-A209-C130B1443AC4}" name="PivotTable17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I56:J67" firstHeaderRow="1" firstDataRow="1" firstDataCol="1"/>
  <pivotFields count="6">
    <pivotField showAll="0"/>
    <pivotField axis="axisRow" showAll="0" measureFilter="1">
      <items count="78">
        <item x="7"/>
        <item x="70"/>
        <item x="20"/>
        <item x="4"/>
        <item x="8"/>
        <item x="34"/>
        <item x="24"/>
        <item x="36"/>
        <item x="46"/>
        <item x="58"/>
        <item x="76"/>
        <item x="0"/>
        <item x="56"/>
        <item x="69"/>
        <item x="19"/>
        <item x="75"/>
        <item x="74"/>
        <item x="5"/>
        <item x="27"/>
        <item x="52"/>
        <item x="71"/>
        <item x="62"/>
        <item x="15"/>
        <item x="39"/>
        <item x="18"/>
        <item x="53"/>
        <item x="16"/>
        <item x="31"/>
        <item x="11"/>
        <item x="44"/>
        <item x="59"/>
        <item x="25"/>
        <item x="73"/>
        <item x="72"/>
        <item x="29"/>
        <item x="68"/>
        <item x="6"/>
        <item x="47"/>
        <item x="40"/>
        <item x="51"/>
        <item x="10"/>
        <item x="32"/>
        <item x="35"/>
        <item x="66"/>
        <item x="41"/>
        <item x="38"/>
        <item x="21"/>
        <item x="22"/>
        <item x="17"/>
        <item x="33"/>
        <item x="37"/>
        <item x="2"/>
        <item x="50"/>
        <item x="48"/>
        <item x="64"/>
        <item x="63"/>
        <item x="9"/>
        <item x="54"/>
        <item x="26"/>
        <item x="43"/>
        <item x="45"/>
        <item x="12"/>
        <item x="42"/>
        <item x="28"/>
        <item x="55"/>
        <item x="30"/>
        <item x="3"/>
        <item x="57"/>
        <item x="1"/>
        <item x="49"/>
        <item x="60"/>
        <item x="61"/>
        <item x="13"/>
        <item x="67"/>
        <item x="23"/>
        <item x="14"/>
        <item x="65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11">
    <i>
      <x/>
    </i>
    <i>
      <x v="3"/>
    </i>
    <i>
      <x v="4"/>
    </i>
    <i>
      <x v="11"/>
    </i>
    <i>
      <x v="17"/>
    </i>
    <i>
      <x v="36"/>
    </i>
    <i>
      <x v="51"/>
    </i>
    <i>
      <x v="56"/>
    </i>
    <i>
      <x v="66"/>
    </i>
    <i>
      <x v="68"/>
    </i>
    <i t="grand">
      <x/>
    </i>
  </rowItems>
  <colItems count="1">
    <i/>
  </colItems>
  <dataFields count="1">
    <dataField name="Sum of revenue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654988-B6EB-4BBA-9415-1CD2C6C55017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G31:H44" firstHeaderRow="1" firstDataRow="1" firstDataCol="1"/>
  <pivotFields count="3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>
      <items count="192">
        <item x="49"/>
        <item x="112"/>
        <item x="48"/>
        <item x="47"/>
        <item x="87"/>
        <item x="86"/>
        <item x="168"/>
        <item x="85"/>
        <item x="167"/>
        <item x="46"/>
        <item x="176"/>
        <item x="111"/>
        <item x="84"/>
        <item x="175"/>
        <item x="45"/>
        <item x="134"/>
        <item x="166"/>
        <item x="165"/>
        <item x="133"/>
        <item x="44"/>
        <item x="83"/>
        <item x="164"/>
        <item x="82"/>
        <item x="132"/>
        <item x="81"/>
        <item x="131"/>
        <item x="130"/>
        <item x="110"/>
        <item x="43"/>
        <item x="42"/>
        <item x="170"/>
        <item x="41"/>
        <item x="163"/>
        <item x="40"/>
        <item x="39"/>
        <item x="38"/>
        <item x="162"/>
        <item x="80"/>
        <item x="37"/>
        <item x="36"/>
        <item x="79"/>
        <item x="35"/>
        <item x="34"/>
        <item x="129"/>
        <item x="109"/>
        <item x="33"/>
        <item x="128"/>
        <item x="32"/>
        <item x="161"/>
        <item x="31"/>
        <item x="78"/>
        <item x="160"/>
        <item x="156"/>
        <item x="77"/>
        <item x="30"/>
        <item x="76"/>
        <item x="75"/>
        <item x="29"/>
        <item x="74"/>
        <item x="28"/>
        <item x="127"/>
        <item x="155"/>
        <item x="126"/>
        <item x="125"/>
        <item x="27"/>
        <item x="73"/>
        <item x="26"/>
        <item x="25"/>
        <item x="24"/>
        <item x="72"/>
        <item x="23"/>
        <item x="22"/>
        <item x="21"/>
        <item x="154"/>
        <item x="153"/>
        <item x="20"/>
        <item x="71"/>
        <item x="108"/>
        <item x="107"/>
        <item x="106"/>
        <item x="19"/>
        <item x="174"/>
        <item x="70"/>
        <item x="18"/>
        <item x="186"/>
        <item x="69"/>
        <item x="68"/>
        <item x="152"/>
        <item x="67"/>
        <item x="17"/>
        <item x="124"/>
        <item x="66"/>
        <item x="179"/>
        <item x="16"/>
        <item x="123"/>
        <item x="65"/>
        <item x="105"/>
        <item x="104"/>
        <item x="122"/>
        <item x="15"/>
        <item x="159"/>
        <item x="64"/>
        <item x="121"/>
        <item x="14"/>
        <item x="190"/>
        <item x="13"/>
        <item x="173"/>
        <item x="12"/>
        <item x="172"/>
        <item x="182"/>
        <item x="103"/>
        <item x="171"/>
        <item x="102"/>
        <item x="11"/>
        <item x="63"/>
        <item x="185"/>
        <item x="101"/>
        <item x="158"/>
        <item x="62"/>
        <item x="184"/>
        <item x="61"/>
        <item x="10"/>
        <item x="9"/>
        <item x="60"/>
        <item x="8"/>
        <item x="59"/>
        <item x="157"/>
        <item x="151"/>
        <item x="7"/>
        <item x="150"/>
        <item x="100"/>
        <item x="6"/>
        <item x="58"/>
        <item x="189"/>
        <item x="5"/>
        <item x="149"/>
        <item x="99"/>
        <item x="178"/>
        <item x="57"/>
        <item x="98"/>
        <item x="148"/>
        <item x="183"/>
        <item x="56"/>
        <item x="147"/>
        <item x="120"/>
        <item x="97"/>
        <item x="146"/>
        <item x="96"/>
        <item x="177"/>
        <item x="95"/>
        <item x="94"/>
        <item x="93"/>
        <item x="55"/>
        <item x="4"/>
        <item x="54"/>
        <item x="119"/>
        <item x="169"/>
        <item x="53"/>
        <item x="145"/>
        <item x="144"/>
        <item x="181"/>
        <item x="52"/>
        <item x="118"/>
        <item x="143"/>
        <item x="92"/>
        <item x="142"/>
        <item x="188"/>
        <item x="91"/>
        <item x="3"/>
        <item x="51"/>
        <item x="180"/>
        <item x="2"/>
        <item x="141"/>
        <item x="90"/>
        <item x="140"/>
        <item x="1"/>
        <item x="187"/>
        <item x="139"/>
        <item x="138"/>
        <item x="50"/>
        <item x="89"/>
        <item x="117"/>
        <item x="116"/>
        <item x="88"/>
        <item x="137"/>
        <item x="115"/>
        <item x="136"/>
        <item x="114"/>
        <item x="0"/>
        <item x="113"/>
        <item x="135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_demand" fld="2" baseField="0" baseItem="0"/>
  </dataFields>
  <chartFormats count="12">
    <chartFormat chart="0" format="19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9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9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9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9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9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9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19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20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20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20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20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112504-EFB3-421F-A868-25FCC226679A}" name="PivotTable34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H83:I87" firstHeaderRow="1" firstDataRow="1" firstDataCol="1"/>
  <pivotFields count="4">
    <pivotField showAll="0">
      <items count="78">
        <item x="42"/>
        <item x="52"/>
        <item x="6"/>
        <item x="30"/>
        <item x="18"/>
        <item x="24"/>
        <item x="63"/>
        <item x="41"/>
        <item x="25"/>
        <item x="60"/>
        <item x="43"/>
        <item x="39"/>
        <item x="17"/>
        <item x="27"/>
        <item x="2"/>
        <item x="54"/>
        <item x="69"/>
        <item x="68"/>
        <item x="19"/>
        <item x="64"/>
        <item x="34"/>
        <item x="23"/>
        <item x="15"/>
        <item x="14"/>
        <item x="10"/>
        <item x="58"/>
        <item x="50"/>
        <item x="67"/>
        <item x="75"/>
        <item x="44"/>
        <item x="49"/>
        <item x="29"/>
        <item x="1"/>
        <item x="22"/>
        <item x="46"/>
        <item x="45"/>
        <item x="5"/>
        <item x="76"/>
        <item x="40"/>
        <item x="56"/>
        <item x="32"/>
        <item x="31"/>
        <item x="65"/>
        <item x="37"/>
        <item x="13"/>
        <item x="21"/>
        <item x="11"/>
        <item x="0"/>
        <item x="36"/>
        <item x="9"/>
        <item x="70"/>
        <item x="7"/>
        <item x="59"/>
        <item x="16"/>
        <item x="55"/>
        <item x="71"/>
        <item x="26"/>
        <item x="20"/>
        <item x="74"/>
        <item x="72"/>
        <item x="48"/>
        <item x="73"/>
        <item x="53"/>
        <item x="62"/>
        <item x="47"/>
        <item x="8"/>
        <item x="3"/>
        <item x="33"/>
        <item x="61"/>
        <item x="38"/>
        <item x="57"/>
        <item x="66"/>
        <item x="12"/>
        <item x="4"/>
        <item x="28"/>
        <item x="51"/>
        <item x="35"/>
        <item t="default"/>
      </items>
    </pivotField>
    <pivotField showAll="0">
      <items count="78">
        <item x="69"/>
        <item x="6"/>
        <item x="56"/>
        <item x="72"/>
        <item x="68"/>
        <item x="42"/>
        <item x="52"/>
        <item x="40"/>
        <item x="30"/>
        <item x="18"/>
        <item x="0"/>
        <item x="76"/>
        <item x="20"/>
        <item x="7"/>
        <item x="57"/>
        <item x="1"/>
        <item x="2"/>
        <item x="71"/>
        <item x="49"/>
        <item x="24"/>
        <item x="5"/>
        <item x="14"/>
        <item x="61"/>
        <item x="37"/>
        <item x="58"/>
        <item x="23"/>
        <item x="60"/>
        <item x="45"/>
        <item x="65"/>
        <item x="32"/>
        <item x="17"/>
        <item x="51"/>
        <item x="3"/>
        <item x="4"/>
        <item x="47"/>
        <item x="8"/>
        <item x="70"/>
        <item x="29"/>
        <item x="36"/>
        <item x="25"/>
        <item x="66"/>
        <item x="44"/>
        <item x="41"/>
        <item x="10"/>
        <item x="35"/>
        <item x="38"/>
        <item x="55"/>
        <item x="54"/>
        <item x="59"/>
        <item x="43"/>
        <item x="39"/>
        <item x="74"/>
        <item x="26"/>
        <item x="28"/>
        <item x="12"/>
        <item x="13"/>
        <item x="67"/>
        <item x="22"/>
        <item x="50"/>
        <item x="33"/>
        <item x="31"/>
        <item x="64"/>
        <item x="34"/>
        <item x="48"/>
        <item x="21"/>
        <item x="46"/>
        <item x="73"/>
        <item x="19"/>
        <item x="75"/>
        <item x="27"/>
        <item x="16"/>
        <item x="15"/>
        <item x="63"/>
        <item x="9"/>
        <item x="53"/>
        <item x="62"/>
        <item x="11"/>
        <item t="default"/>
      </items>
    </pivotField>
    <pivotField dataField="1" showAll="0">
      <items count="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axis="axisRow" showAll="0">
      <items count="4">
        <item x="2"/>
        <item x="0"/>
        <item x="1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2" baseField="0" baseItem="0"/>
  </dataFields>
  <chartFormats count="4">
    <chartFormat chart="0" format="0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73CDD5-4788-4E77-921C-3D87C9AE9576}" name="PivotTable18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H34:I50" firstHeaderRow="1" firstDataRow="1" firstDataCol="1"/>
  <pivotFields count="4">
    <pivotField axis="axisRow" showAll="0" measureFilter="1" sortType="descending">
      <items count="78">
        <item x="35"/>
        <item x="51"/>
        <item x="28"/>
        <item x="4"/>
        <item x="12"/>
        <item x="66"/>
        <item x="57"/>
        <item x="38"/>
        <item x="61"/>
        <item x="33"/>
        <item x="3"/>
        <item x="8"/>
        <item x="47"/>
        <item x="62"/>
        <item x="53"/>
        <item x="73"/>
        <item x="48"/>
        <item x="72"/>
        <item x="74"/>
        <item x="20"/>
        <item x="26"/>
        <item x="71"/>
        <item x="55"/>
        <item x="16"/>
        <item x="59"/>
        <item x="7"/>
        <item x="70"/>
        <item x="9"/>
        <item x="36"/>
        <item x="0"/>
        <item x="11"/>
        <item x="21"/>
        <item x="13"/>
        <item x="37"/>
        <item x="65"/>
        <item x="31"/>
        <item x="32"/>
        <item x="56"/>
        <item x="40"/>
        <item x="76"/>
        <item x="5"/>
        <item x="45"/>
        <item x="46"/>
        <item x="22"/>
        <item x="1"/>
        <item x="29"/>
        <item x="49"/>
        <item x="44"/>
        <item x="75"/>
        <item x="67"/>
        <item x="50"/>
        <item x="58"/>
        <item x="10"/>
        <item x="14"/>
        <item x="15"/>
        <item x="23"/>
        <item x="34"/>
        <item x="64"/>
        <item x="19"/>
        <item x="68"/>
        <item x="69"/>
        <item x="54"/>
        <item x="2"/>
        <item x="27"/>
        <item x="17"/>
        <item x="39"/>
        <item x="43"/>
        <item x="60"/>
        <item x="25"/>
        <item x="41"/>
        <item x="63"/>
        <item x="24"/>
        <item x="18"/>
        <item x="30"/>
        <item x="6"/>
        <item x="52"/>
        <item x="42"/>
        <item t="default"/>
      </items>
    </pivotField>
    <pivotField showAll="0"/>
    <pivotField dataField="1" showAll="0"/>
    <pivotField showAll="0"/>
  </pivotFields>
  <rowFields count="1">
    <field x="0"/>
  </rowFields>
  <rowItems count="16">
    <i>
      <x v="5"/>
    </i>
    <i>
      <x v="13"/>
    </i>
    <i>
      <x v="15"/>
    </i>
    <i>
      <x v="17"/>
    </i>
    <i>
      <x v="18"/>
    </i>
    <i>
      <x v="21"/>
    </i>
    <i>
      <x v="26"/>
    </i>
    <i>
      <x v="34"/>
    </i>
    <i>
      <x v="39"/>
    </i>
    <i>
      <x v="48"/>
    </i>
    <i>
      <x v="49"/>
    </i>
    <i>
      <x v="57"/>
    </i>
    <i>
      <x v="59"/>
    </i>
    <i>
      <x v="60"/>
    </i>
    <i>
      <x v="70"/>
    </i>
    <i t="grand">
      <x/>
    </i>
  </rowItems>
  <colItems count="1">
    <i/>
  </colItems>
  <dataFields count="1">
    <dataField name="Sum of revenue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A9ABF4-58C7-427E-BF43-3C126D32F691}" name="PivotTable38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51:C69" firstHeaderRow="1" firstDataRow="1" firstDataCol="1"/>
  <pivotFields count="6">
    <pivotField axis="axisRow" showAll="0">
      <items count="18">
        <item x="2"/>
        <item x="16"/>
        <item x="6"/>
        <item x="15"/>
        <item x="12"/>
        <item x="0"/>
        <item x="1"/>
        <item x="5"/>
        <item x="3"/>
        <item x="14"/>
        <item x="10"/>
        <item x="7"/>
        <item x="4"/>
        <item x="11"/>
        <item x="13"/>
        <item x="8"/>
        <item x="9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totalsupplier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899AE9-F4B1-4429-AC44-6E1B2C4A58AC}" name="PivotTable36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J27:K45" firstHeaderRow="1" firstDataRow="1" firstDataCol="1"/>
  <pivotFields count="6">
    <pivotField axis="axisRow" showAll="0">
      <items count="18">
        <item x="2"/>
        <item x="16"/>
        <item x="6"/>
        <item x="15"/>
        <item x="12"/>
        <item x="0"/>
        <item x="1"/>
        <item x="5"/>
        <item x="3"/>
        <item x="14"/>
        <item x="10"/>
        <item x="7"/>
        <item x="4"/>
        <item x="11"/>
        <item x="13"/>
        <item x="8"/>
        <item x="9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avgproductpric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EF1F56-620D-4B1B-B6DC-85635D639095}" name="PivotTable66" cacheId="1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G32:H41" firstHeaderRow="1" firstDataRow="1" firstDataCol="1"/>
  <pivotFields count="3">
    <pivotField axis="axisRow" showAll="0">
      <items count="9">
        <item x="3"/>
        <item x="0"/>
        <item x="1"/>
        <item x="4"/>
        <item x="5"/>
        <item x="6"/>
        <item x="7"/>
        <item x="2"/>
        <item t="default"/>
      </items>
    </pivotField>
    <pivotField showAll="0"/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product_supplied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694EDB-78FA-4C38-B88B-AA488CACDF54}" name="PivotTable69" cacheId="1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I29:R48" firstHeaderRow="1" firstDataRow="2" firstDataCol="1"/>
  <pivotFields count="6">
    <pivotField axis="axisRow" showAll="0">
      <items count="18">
        <item x="3"/>
        <item x="16"/>
        <item x="4"/>
        <item x="15"/>
        <item x="12"/>
        <item x="0"/>
        <item x="1"/>
        <item x="8"/>
        <item x="2"/>
        <item x="14"/>
        <item x="10"/>
        <item x="5"/>
        <item x="7"/>
        <item x="11"/>
        <item x="13"/>
        <item x="9"/>
        <item x="6"/>
        <item t="default"/>
      </items>
    </pivotField>
    <pivotField axis="axisCol" showAll="0">
      <items count="9">
        <item x="0"/>
        <item x="6"/>
        <item x="4"/>
        <item x="5"/>
        <item x="7"/>
        <item x="1"/>
        <item x="3"/>
        <item x="2"/>
        <item t="default"/>
      </items>
    </pivotField>
    <pivotField showAll="0"/>
    <pivotField dataField="1" showAll="0"/>
    <pivotField showAll="0"/>
    <pivotField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avgprice" fld="3" baseField="0" baseItem="0"/>
  </dataFields>
  <chartFormats count="16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CB2B86-EDC1-41AC-90B7-5FCFD8945A6A}" autoFormatId="16" applyNumberFormats="0" applyBorderFormats="0" applyFontFormats="0" applyPatternFormats="0" applyAlignmentFormats="0" applyWidthHeightFormats="0">
  <queryTableRefresh nextId="4">
    <queryTableFields count="3">
      <queryTableField id="1" name="CustomerID" tableColumnId="1"/>
      <queryTableField id="2" name="total_orders" tableColumnId="2"/>
      <queryTableField id="3" name="total_sale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439ECA44-1921-4F3B-A2DA-87C0F8B330B1}" autoFormatId="16" applyNumberFormats="0" applyBorderFormats="0" applyFontFormats="0" applyPatternFormats="0" applyAlignmentFormats="0" applyWidthHeightFormats="0">
  <queryTableRefresh nextId="7">
    <queryTableFields count="6">
      <queryTableField id="1" name="Country" tableColumnId="1"/>
      <queryTableField id="2" name="City" tableColumnId="2"/>
      <queryTableField id="3" name="total_customers" tableColumnId="3"/>
      <queryTableField id="4" name="total_orders" tableColumnId="4"/>
      <queryTableField id="5" name="order_per_customer" tableColumnId="5"/>
      <queryTableField id="6" name="revenue_per_customer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D12E610F-B587-4925-A6B5-82C9B94DC253}" autoFormatId="16" applyNumberFormats="0" applyBorderFormats="0" applyFontFormats="0" applyPatternFormats="0" applyAlignmentFormats="0" applyWidthHeightFormats="0">
  <queryTableRefresh nextId="7">
    <queryTableFields count="6">
      <queryTableField id="1" name="CustomerID" tableColumnId="1"/>
      <queryTableField id="2" name="CompanyName" tableColumnId="2"/>
      <queryTableField id="3" name="Preferred_Category" tableColumnId="3"/>
      <queryTableField id="4" name="order_count" tableColumnId="4"/>
      <queryTableField id="5" name="total_spend" tableColumnId="5"/>
      <queryTableField id="6" name="customer_segment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302DB7FE-2248-47CA-A1A2-8016AC67A384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ProductID" tableColumnId="1"/>
      <queryTableField id="2" name="product_wise_revenue" tableColumnId="2"/>
      <queryTableField id="3" name="total_revenue" tableColumnId="3"/>
      <queryTableField id="4" name="contribution_percentage" tableColumnId="4"/>
      <queryTableField id="5" dataBound="0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D24853A5-7391-4DE5-98ED-745FA02D5FB8}" autoFormatId="16" applyNumberFormats="0" applyBorderFormats="0" applyFontFormats="0" applyPatternFormats="0" applyAlignmentFormats="0" applyWidthHeightFormats="0">
  <queryTableRefresh nextId="5">
    <queryTableFields count="4">
      <queryTableField id="1" name="cust_segmentation" tableColumnId="1"/>
      <queryTableField id="2" name="Customer_count" tableColumnId="2"/>
      <queryTableField id="3" name="avg_ord_per_cust" tableColumnId="3"/>
      <queryTableField id="4" name="Total_Orders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1D78B7CE-6A8E-4575-917D-D0685FDBABC5}" autoFormatId="16" applyNumberFormats="0" applyBorderFormats="0" applyFontFormats="0" applyPatternFormats="0" applyAlignmentFormats="0" applyWidthHeightFormats="0">
  <queryTableRefresh nextId="5">
    <queryTableFields count="4">
      <queryTableField id="1" name="country" tableColumnId="1"/>
      <queryTableField id="2" name="city" tableColumnId="2"/>
      <queryTableField id="3" name="title" tableColumnId="3"/>
      <queryTableField id="4" name="employee_count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486D5724-3354-4BF6-ACDB-CF2CBFCBCA28}" autoFormatId="16" applyNumberFormats="0" applyBorderFormats="0" applyFontFormats="0" applyPatternFormats="0" applyAlignmentFormats="0" applyWidthHeightFormats="0">
  <queryTableRefresh nextId="4">
    <queryTableFields count="3">
      <queryTableField id="1" name="employee_name" tableColumnId="1"/>
      <queryTableField id="2" name="title" tableColumnId="2"/>
      <queryTableField id="3" name="hire_year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F84301AA-6CC1-431A-870E-97F26B9770CE}" autoFormatId="16" applyNumberFormats="0" applyBorderFormats="0" applyFontFormats="0" applyPatternFormats="0" applyAlignmentFormats="0" applyWidthHeightFormats="0">
  <queryTableRefresh nextId="7">
    <queryTableFields count="6">
      <queryTableField id="1" name="title" tableColumnId="1"/>
      <queryTableField id="2" name="employeecount" tableColumnId="2"/>
      <queryTableField id="3" name="mr_count" tableColumnId="3"/>
      <queryTableField id="4" name="ms_count" tableColumnId="4"/>
      <queryTableField id="5" name="mrs_count" tableColumnId="5"/>
      <queryTableField id="6" name="dr_count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6C92CCE6-9978-42F2-9AB7-76898BA1FE39}" autoFormatId="16" applyNumberFormats="0" applyBorderFormats="0" applyFontFormats="0" applyPatternFormats="0" applyAlignmentFormats="0" applyWidthHeightFormats="0">
  <queryTableRefresh nextId="7">
    <queryTableFields count="6">
      <queryTableField id="1" name="productid" tableColumnId="1"/>
      <queryTableField id="2" name="productname" tableColumnId="2"/>
      <queryTableField id="3" name="unitprice" tableColumnId="3"/>
      <queryTableField id="4" name="unitsinstock" tableColumnId="4"/>
      <queryTableField id="5" name="quantitysold" tableColumnId="5"/>
      <queryTableField id="6" name="revenue" tableColumnId="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C447025-9080-4D23-8B20-90FBE0304C9E}" autoFormatId="16" applyNumberFormats="0" applyBorderFormats="0" applyFontFormats="0" applyPatternFormats="0" applyAlignmentFormats="0" applyWidthHeightFormats="0">
  <queryTableRefresh nextId="4">
    <queryTableFields count="3">
      <queryTableField id="1" name="productname" tableColumnId="1"/>
      <queryTableField id="2" name="order_month" tableColumnId="2"/>
      <queryTableField id="3" name="total_demand" tableColumnId="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B0C61B6-1188-4832-87FE-D72A8D5A9F41}" autoFormatId="16" applyNumberFormats="0" applyBorderFormats="0" applyFontFormats="0" applyPatternFormats="0" applyAlignmentFormats="0" applyWidthHeightFormats="0">
  <queryTableRefresh nextId="5">
    <queryTableFields count="4">
      <queryTableField id="1" name="productid" tableColumnId="1"/>
      <queryTableField id="2" name="productname" tableColumnId="2"/>
      <queryTableField id="3" name="revenue" tableColumnId="3"/>
      <queryTableField id="4" name="performanceflag" tableColumnId="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AD27E79-B00A-48A6-B762-0592534884A6}" autoFormatId="16" applyNumberFormats="0" applyBorderFormats="0" applyFontFormats="0" applyPatternFormats="0" applyAlignmentFormats="0" applyWidthHeightFormats="0">
  <queryTableRefresh nextId="7">
    <queryTableFields count="6">
      <queryTableField id="1" name="country" tableColumnId="1"/>
      <queryTableField id="2" name="totalsuppliers" tableColumnId="2"/>
      <queryTableField id="3" name="totalproducts" tableColumnId="3"/>
      <queryTableField id="4" name="avgproductprice" tableColumnId="4"/>
      <queryTableField id="5" name="maxprice" tableColumnId="5"/>
      <queryTableField id="6" name="minprice" tableColumnId="6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5C859AA7-5A05-4674-9E38-8CFA07166E78}" autoFormatId="16" applyNumberFormats="0" applyBorderFormats="0" applyFontFormats="0" applyPatternFormats="0" applyAlignmentFormats="0" applyWidthHeightFormats="0">
  <queryTableRefresh nextId="4">
    <queryTableFields count="3">
      <queryTableField id="1" name="categoryname" tableColumnId="1"/>
      <queryTableField id="2" name="companyname" tableColumnId="2"/>
      <queryTableField id="3" name="product_supplied" tableColumnId="3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0F2CA94B-A766-49A5-A1DD-A884D7DA97E7}" autoFormatId="16" applyNumberFormats="0" applyBorderFormats="0" applyFontFormats="0" applyPatternFormats="0" applyAlignmentFormats="0" applyWidthHeightFormats="0">
  <queryTableRefresh nextId="7">
    <queryTableFields count="6">
      <queryTableField id="1" name="country" tableColumnId="1"/>
      <queryTableField id="2" name="categoryname" tableColumnId="2"/>
      <queryTableField id="3" name="totalproducts" tableColumnId="3"/>
      <queryTableField id="4" name="avgprice" tableColumnId="4"/>
      <queryTableField id="5" name="maxprice" tableColumnId="5"/>
      <queryTableField id="6" name="minpric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4652C8-77CD-4F92-A421-DAF27BB335B9}" name="OUTPUT" displayName="OUTPUT" ref="C20:E45" tableType="queryTable" totalsRowShown="0">
  <autoFilter ref="C20:E45" xr:uid="{DE4652C8-77CD-4F92-A421-DAF27BB335B9}"/>
  <tableColumns count="3">
    <tableColumn id="1" xr3:uid="{0806CCB2-7A92-41DC-8B1D-9AF2BBAC5C98}" uniqueName="1" name="CustomerID" queryTableFieldId="1" dataDxfId="23"/>
    <tableColumn id="2" xr3:uid="{B8740918-E069-4530-BA8D-393FEB201344}" uniqueName="2" name="total_orders" queryTableFieldId="2"/>
    <tableColumn id="3" xr3:uid="{BFCC59A3-7110-42AB-A461-D8F4FBFF162C}" uniqueName="3" name="total_sales" queryTableFieldId="3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E8CF8B-6FC7-463B-AD7A-8EEC80115B1B}" name="OUTPUT2" displayName="OUTPUT2" ref="A27:F96" tableType="queryTable" totalsRowShown="0">
  <autoFilter ref="A27:F96" xr:uid="{ABE8CF8B-6FC7-463B-AD7A-8EEC80115B1B}"/>
  <tableColumns count="6">
    <tableColumn id="1" xr3:uid="{A8678687-66AC-4422-90B9-39E9C23ED1EE}" uniqueName="1" name="Country" queryTableFieldId="1" dataDxfId="22"/>
    <tableColumn id="2" xr3:uid="{438F4A70-6B41-46AD-9A19-C15DC01EA27F}" uniqueName="2" name="City" queryTableFieldId="2" dataDxfId="21"/>
    <tableColumn id="3" xr3:uid="{606A6317-7D66-4CB0-8AB8-8ECFA5C35357}" uniqueName="3" name="total_customers" queryTableFieldId="3" dataDxfId="20"/>
    <tableColumn id="4" xr3:uid="{FFE58063-E89D-4923-82FA-25CD22135E35}" uniqueName="4" name="total_orders" queryTableFieldId="4"/>
    <tableColumn id="5" xr3:uid="{BEDE69DB-C2CE-4B48-BBED-910271ED12A6}" uniqueName="5" name="order_per_customer" queryTableFieldId="5"/>
    <tableColumn id="6" xr3:uid="{15B066DB-3339-4253-963F-AF968002E019}" uniqueName="6" name="revenue_per_customer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C5D19B-0AD3-4DE3-A73E-3FB99A9BA342}" name="OUTPUT3" displayName="OUTPUT3" ref="A31:F120" tableType="queryTable" totalsRowShown="0">
  <autoFilter ref="A31:F120" xr:uid="{60C5D19B-0AD3-4DE3-A73E-3FB99A9BA342}"/>
  <tableColumns count="6">
    <tableColumn id="1" xr3:uid="{3166AC85-4DFE-490F-B57E-6632FA32FBC9}" uniqueName="1" name="CustomerID" queryTableFieldId="1" dataDxfId="19"/>
    <tableColumn id="2" xr3:uid="{B4F046CE-43E4-4967-BE18-8391A91C6036}" uniqueName="2" name="CompanyName" queryTableFieldId="2" dataDxfId="18"/>
    <tableColumn id="3" xr3:uid="{D21B8EFD-2D39-42E5-BC74-97443BB3F4A3}" uniqueName="3" name="Preferred_Category" queryTableFieldId="3" dataDxfId="17"/>
    <tableColumn id="4" xr3:uid="{A5556A5C-FE2F-44C6-AA6C-AEA469D90C17}" uniqueName="4" name="order_count" queryTableFieldId="4"/>
    <tableColumn id="5" xr3:uid="{FB720E65-3DFF-46CE-8612-704247752EE9}" uniqueName="5" name="total_spend" queryTableFieldId="5"/>
    <tableColumn id="6" xr3:uid="{2197AB6C-974D-4F6A-ACC2-B19B4A514D53}" uniqueName="6" name="customer_segment" queryTableFieldId="6" dataDxfId="1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50B043A-F859-49F1-9622-97A3FE26736A}" name="OUTPUT4" displayName="OUTPUT4" ref="A23:E100" tableType="queryTable" totalsRowShown="0">
  <autoFilter ref="A23:E100" xr:uid="{D50B043A-F859-49F1-9622-97A3FE26736A}"/>
  <tableColumns count="5">
    <tableColumn id="1" xr3:uid="{67887D89-08E1-4246-A1D9-D59878D7455F}" uniqueName="1" name="ProductID" queryTableFieldId="1"/>
    <tableColumn id="2" xr3:uid="{40FC637E-ECB5-4BB5-9F47-A177CF370E27}" uniqueName="2" name="product_wise_revenue" queryTableFieldId="2"/>
    <tableColumn id="3" xr3:uid="{9186EC6A-0D1E-4DFA-9C28-BDAC778278AC}" uniqueName="3" name="total_revenue" queryTableFieldId="3"/>
    <tableColumn id="4" xr3:uid="{47E5A189-A925-4842-B417-0FC13BFEAEA2}" uniqueName="4" name="contribution_percentage" queryTableFieldId="4"/>
    <tableColumn id="5" xr3:uid="{912C37F8-2A3E-4118-8698-DED5346AE99C}" uniqueName="5" name="Cumulative %" queryTableFieldId="5" dataDxfId="15">
      <calculatedColumnFormula>SUM($D$24:D24)</calculatedColumnFormula>
    </tableColumn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71DECC8-0F16-4D38-8CDE-9B5A64AACC12}" name="OUTPUT5" displayName="OUTPUT5" ref="A35:D39" tableType="queryTable" totalsRowShown="0">
  <autoFilter ref="A35:D39" xr:uid="{A71DECC8-0F16-4D38-8CDE-9B5A64AACC12}"/>
  <tableColumns count="4">
    <tableColumn id="1" xr3:uid="{737DA897-FAA0-46B8-9D65-42368E73ED99}" uniqueName="1" name="cust_segmentation" queryTableFieldId="1" dataDxfId="14"/>
    <tableColumn id="2" xr3:uid="{47E35EEC-03A9-41DF-B4C9-A3D9A7059972}" uniqueName="2" name="Customer_count" queryTableFieldId="2"/>
    <tableColumn id="3" xr3:uid="{A5A542EB-D4D4-4F3E-8BFB-8C6AE5AE919B}" uniqueName="3" name="avg_ord_per_cust" queryTableFieldId="3"/>
    <tableColumn id="4" xr3:uid="{14A7966B-0A96-4F7F-8E0C-C2033F5402E4}" uniqueName="4" name="Total_Orders" queryTableFieldId="4"/>
  </tableColumns>
  <tableStyleInfo name="TableStyleDark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A99A8C4-966E-4ABB-8A46-706E23BB9240}" name="OUTPUT6" displayName="OUTPUT6" ref="B22:E29" tableType="queryTable" totalsRowShown="0">
  <autoFilter ref="B22:E29" xr:uid="{0A99A8C4-966E-4ABB-8A46-706E23BB9240}"/>
  <tableColumns count="4">
    <tableColumn id="1" xr3:uid="{169D77A9-14C5-4593-BD41-F1A8BC306A33}" uniqueName="1" name="country" queryTableFieldId="1" dataDxfId="13"/>
    <tableColumn id="2" xr3:uid="{4E57ADF1-A012-4B5F-9B14-F77737002458}" uniqueName="2" name="city" queryTableFieldId="2" dataDxfId="12"/>
    <tableColumn id="3" xr3:uid="{F46B422B-2D9C-49D0-8FCF-EA913730F93D}" uniqueName="3" name="title" queryTableFieldId="3" dataDxfId="11"/>
    <tableColumn id="4" xr3:uid="{BD98AE33-9833-4633-8043-AE7CB8CF3D8F}" uniqueName="4" name="employee_count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D97F4E7-9072-433C-A6B2-0454942410D4}" name="OUTPUT7" displayName="OUTPUT7" ref="B21:D30" tableType="queryTable" totalsRowShown="0">
  <autoFilter ref="B21:D30" xr:uid="{8D97F4E7-9072-433C-A6B2-0454942410D4}"/>
  <tableColumns count="3">
    <tableColumn id="1" xr3:uid="{384D5536-9C8E-44B5-BB11-024CC21837D0}" uniqueName="1" name="employee_name" queryTableFieldId="1" dataDxfId="10"/>
    <tableColumn id="2" xr3:uid="{9EE9A1DA-1BC3-4572-AEA5-AE6BB3BFA2F0}" uniqueName="2" name="title" queryTableFieldId="2" dataDxfId="9"/>
    <tableColumn id="3" xr3:uid="{120A67B7-17A1-4BC7-B579-2FCF6D471080}" uniqueName="3" name="hire_year" queryTableFieldId="3"/>
  </tableColumns>
  <tableStyleInfo name="TableStyleMedium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1DF1F0-7D72-4FDA-BE4B-C15FAB6F3453}" name="OUTPUT8" displayName="OUTPUT8" ref="B21:G25" tableType="queryTable" totalsRowShown="0">
  <autoFilter ref="B21:G25" xr:uid="{FC1DF1F0-7D72-4FDA-BE4B-C15FAB6F3453}"/>
  <tableColumns count="6">
    <tableColumn id="1" xr3:uid="{2FABCFA1-CC89-4C4D-B715-B01BFEA90C6B}" uniqueName="1" name="title" queryTableFieldId="1" dataDxfId="8"/>
    <tableColumn id="2" xr3:uid="{3BF177D1-5415-4DCC-994E-D9FDBC4E9FD3}" uniqueName="2" name="employeecount" queryTableFieldId="2"/>
    <tableColumn id="3" xr3:uid="{F284DA66-5695-435D-B700-BAF422AFE06F}" uniqueName="3" name="mr_count" queryTableFieldId="3"/>
    <tableColumn id="4" xr3:uid="{655E3CCD-9D66-4D77-9CE1-BABC93BF3426}" uniqueName="4" name="ms_count" queryTableFieldId="4"/>
    <tableColumn id="5" xr3:uid="{0F6BF0AD-309C-4354-9B1F-53151C7432FE}" uniqueName="5" name="mrs_count" queryTableFieldId="5"/>
    <tableColumn id="6" xr3:uid="{F5469A4A-7632-4A70-8F34-48AC0F28AD7C}" uniqueName="6" name="dr_count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B07E727-61D6-4BC8-832B-4671C29A2FEC}" name="OUTPUT9" displayName="OUTPUT9" ref="A28:F105" tableType="queryTable" totalsRowShown="0">
  <autoFilter ref="A28:F105" xr:uid="{2B07E727-61D6-4BC8-832B-4671C29A2FEC}"/>
  <tableColumns count="6">
    <tableColumn id="1" xr3:uid="{E5D63248-1449-400E-9900-DBDC30EE5920}" uniqueName="1" name="productid" queryTableFieldId="1"/>
    <tableColumn id="2" xr3:uid="{F985BA49-7825-4B28-B6E9-D68148723B5B}" uniqueName="2" name="productname" queryTableFieldId="2" dataDxfId="7"/>
    <tableColumn id="3" xr3:uid="{AA639B05-23D0-42B1-A3F5-1114D9166069}" uniqueName="3" name="unitprice" queryTableFieldId="3"/>
    <tableColumn id="4" xr3:uid="{C7CA7D88-2083-4A29-936D-969B0E4222B5}" uniqueName="4" name="unitsinstock" queryTableFieldId="4"/>
    <tableColumn id="5" xr3:uid="{F114D2BA-5276-48B8-AAF5-2A0990AA8EE9}" uniqueName="5" name="quantitysold" queryTableFieldId="5"/>
    <tableColumn id="6" xr3:uid="{F8F15822-92AD-4D0C-ADFA-D27E42A942DA}" uniqueName="6" name="revenue" queryTableFieldId="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7E98C77-4391-40BD-B96B-03F4A80B20BB}" name="OUTPUT10" displayName="OUTPUT10" ref="B30:D805" tableType="queryTable" totalsRowShown="0">
  <autoFilter ref="B30:D805" xr:uid="{57E98C77-4391-40BD-B96B-03F4A80B20BB}"/>
  <tableColumns count="3">
    <tableColumn id="1" xr3:uid="{9CC82697-C925-447D-BF47-1E75AA2D37DB}" uniqueName="1" name="productname" queryTableFieldId="1" dataDxfId="24"/>
    <tableColumn id="2" xr3:uid="{E78C9071-4589-4701-B916-D8A505BB4AD2}" uniqueName="2" name="order_month" queryTableFieldId="2"/>
    <tableColumn id="3" xr3:uid="{7BCB6F3D-95CA-4F0C-8FA5-621998E49B2D}" uniqueName="3" name="total_demand" queryTableFieldId="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6F1666D-D5F8-4E91-BB4C-274ABAA8E93C}" name="OUTPUT11" displayName="OUTPUT11" ref="B34:E111" tableType="queryTable" totalsRowShown="0">
  <autoFilter ref="B34:E111" xr:uid="{C6F1666D-D5F8-4E91-BB4C-274ABAA8E93C}"/>
  <sortState xmlns:xlrd2="http://schemas.microsoft.com/office/spreadsheetml/2017/richdata2" ref="B35:E111">
    <sortCondition descending="1" ref="D34:D111"/>
  </sortState>
  <tableColumns count="4">
    <tableColumn id="1" xr3:uid="{5A9B8CB2-9B36-4025-B5EC-5EA36C2B4BDA}" uniqueName="1" name="productid" queryTableFieldId="1"/>
    <tableColumn id="2" xr3:uid="{E0329258-4EBE-4A0C-82E9-C056FC170FEE}" uniqueName="2" name="productname" queryTableFieldId="2" dataDxfId="6"/>
    <tableColumn id="3" xr3:uid="{05ED94F1-DAFC-4667-873C-222A61C331A2}" uniqueName="3" name="revenue" queryTableFieldId="3"/>
    <tableColumn id="4" xr3:uid="{AA12BACB-179E-4B94-B349-012654EA18A3}" uniqueName="4" name="performanceflag" queryTableFieldId="4" dataDxfId="5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8EA5326-17BE-41E3-9692-EC8AC717F119}" name="OUTPUT12" displayName="OUTPUT12" ref="A27:F44" tableType="queryTable" totalsRowShown="0">
  <autoFilter ref="A27:F44" xr:uid="{18EA5326-17BE-41E3-9692-EC8AC717F119}"/>
  <tableColumns count="6">
    <tableColumn id="1" xr3:uid="{9300FFFE-8017-43E2-A13F-1784B59363DA}" uniqueName="1" name="country" queryTableFieldId="1" dataDxfId="4"/>
    <tableColumn id="2" xr3:uid="{CA20BCB4-EAAD-4DE4-B62E-B355DFDDCCE6}" uniqueName="2" name="totalsuppliers" queryTableFieldId="2"/>
    <tableColumn id="3" xr3:uid="{D1922BC7-A30A-44D3-A446-06E82C6CE4FF}" uniqueName="3" name="totalproducts" queryTableFieldId="3"/>
    <tableColumn id="4" xr3:uid="{9F7C7362-6C22-4D2B-BE26-938A52E45690}" uniqueName="4" name="avgproductprice" queryTableFieldId="4"/>
    <tableColumn id="5" xr3:uid="{F3E0B765-B783-47EE-B9BA-2795C5B13A4C}" uniqueName="5" name="maxprice" queryTableFieldId="5"/>
    <tableColumn id="6" xr3:uid="{0B10EB35-EE1C-46FA-88F4-8D07DE6A471E}" uniqueName="6" name="minprice" queryTableFieldId="6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0292AB5-2C50-4D5F-932D-56A6060F9CF5}" name="OUTPUT13" displayName="OUTPUT13" ref="B27:D76" tableType="queryTable" totalsRowShown="0">
  <autoFilter ref="B27:D76" xr:uid="{70292AB5-2C50-4D5F-932D-56A6060F9CF5}"/>
  <tableColumns count="3">
    <tableColumn id="1" xr3:uid="{8E881012-C223-43C4-BAE9-2201205F88AD}" uniqueName="1" name="categoryname" queryTableFieldId="1" dataDxfId="3"/>
    <tableColumn id="2" xr3:uid="{6A81BA55-E4E1-4799-B35A-78096089BD59}" uniqueName="2" name="companyname" queryTableFieldId="2" dataDxfId="2"/>
    <tableColumn id="3" xr3:uid="{100355B1-3690-4FE1-B07C-35FFDB9413F1}" uniqueName="3" name="product_supplied" queryTableFieldId="3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10E3C5D-5172-46D8-8D5B-62958028BB51}" name="OUTPUT14" displayName="OUTPUT14" ref="A29:F74" tableType="queryTable" totalsRowShown="0">
  <autoFilter ref="A29:F74" xr:uid="{610E3C5D-5172-46D8-8D5B-62958028BB51}"/>
  <tableColumns count="6">
    <tableColumn id="1" xr3:uid="{F7CB44E9-1952-469A-B527-EE00AE6A80F8}" uniqueName="1" name="country" queryTableFieldId="1" dataDxfId="1"/>
    <tableColumn id="2" xr3:uid="{F08B33A2-894F-4597-9862-45C26D7ABFB1}" uniqueName="2" name="categoryname" queryTableFieldId="2" dataDxfId="0"/>
    <tableColumn id="3" xr3:uid="{8F26C740-18CF-419F-9084-010927DC480D}" uniqueName="3" name="totalproducts" queryTableFieldId="3"/>
    <tableColumn id="4" xr3:uid="{AD6E2F66-D50E-4472-B5E7-F31ABF4CD2DF}" uniqueName="4" name="avgprice" queryTableFieldId="4"/>
    <tableColumn id="5" xr3:uid="{E1C1A257-88BF-413B-9B2C-A5BE32327666}" uniqueName="5" name="maxprice" queryTableFieldId="5"/>
    <tableColumn id="6" xr3:uid="{42B998DA-3449-4913-B41C-8B9F8E4E3FDB}" uniqueName="6" name="minpric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5" Type="http://schemas.openxmlformats.org/officeDocument/2006/relationships/table" Target="../tables/table6.xml"/><Relationship Id="rId4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4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6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Relationship Id="rId4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ivotTable" Target="../pivotTables/pivotTable20.xml"/><Relationship Id="rId1" Type="http://schemas.openxmlformats.org/officeDocument/2006/relationships/pivotTable" Target="../pivotTables/pivotTable19.xml"/><Relationship Id="rId4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2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500B6-8415-46E8-A402-60821EB00CD9}">
  <dimension ref="C18:K57"/>
  <sheetViews>
    <sheetView tabSelected="1" topLeftCell="B1" workbookViewId="0">
      <selection activeCell="N8" sqref="N8"/>
    </sheetView>
  </sheetViews>
  <sheetFormatPr defaultRowHeight="15"/>
  <cols>
    <col min="3" max="3" width="13.7109375" bestFit="1" customWidth="1"/>
    <col min="4" max="4" width="14.140625" bestFit="1" customWidth="1"/>
    <col min="5" max="5" width="12.85546875" bestFit="1" customWidth="1"/>
    <col min="7" max="7" width="13.140625" bestFit="1" customWidth="1"/>
    <col min="8" max="8" width="18.7109375" bestFit="1" customWidth="1"/>
    <col min="9" max="9" width="17.42578125" bestFit="1" customWidth="1"/>
    <col min="10" max="10" width="18.7109375" bestFit="1" customWidth="1"/>
    <col min="11" max="11" width="18.85546875" bestFit="1" customWidth="1"/>
  </cols>
  <sheetData>
    <row r="18" spans="3:5" ht="15.75" thickBot="1"/>
    <row r="19" spans="3:5" ht="19.5" thickBot="1">
      <c r="D19" s="16" t="s">
        <v>28</v>
      </c>
    </row>
    <row r="20" spans="3:5">
      <c r="C20" t="s">
        <v>0</v>
      </c>
      <c r="D20" t="s">
        <v>1</v>
      </c>
      <c r="E20" t="s">
        <v>27</v>
      </c>
    </row>
    <row r="21" spans="3:5">
      <c r="C21" t="s">
        <v>2</v>
      </c>
      <c r="D21">
        <v>28</v>
      </c>
      <c r="E21">
        <v>30107.37</v>
      </c>
    </row>
    <row r="22" spans="3:5">
      <c r="C22" t="s">
        <v>3</v>
      </c>
      <c r="D22">
        <v>32</v>
      </c>
      <c r="E22">
        <v>21601.68</v>
      </c>
    </row>
    <row r="23" spans="3:5">
      <c r="C23" t="s">
        <v>4</v>
      </c>
      <c r="D23">
        <v>25</v>
      </c>
      <c r="E23">
        <v>15612.88</v>
      </c>
    </row>
    <row r="24" spans="3:5">
      <c r="C24" t="s">
        <v>5</v>
      </c>
      <c r="D24">
        <v>41</v>
      </c>
      <c r="E24">
        <v>21041.26</v>
      </c>
    </row>
    <row r="25" spans="3:5">
      <c r="C25" t="s">
        <v>6</v>
      </c>
      <c r="D25">
        <v>92</v>
      </c>
      <c r="E25">
        <v>88226.08</v>
      </c>
    </row>
    <row r="26" spans="3:5">
      <c r="C26" t="s">
        <v>7</v>
      </c>
      <c r="D26">
        <v>46</v>
      </c>
      <c r="E26">
        <v>49842.080000000002</v>
      </c>
    </row>
    <row r="27" spans="3:5">
      <c r="C27" t="s">
        <v>8</v>
      </c>
      <c r="D27">
        <v>44</v>
      </c>
      <c r="E27">
        <v>28757.56</v>
      </c>
    </row>
    <row r="28" spans="3:5">
      <c r="C28" t="s">
        <v>9</v>
      </c>
      <c r="D28">
        <v>26</v>
      </c>
      <c r="E28">
        <v>18534.080000000002</v>
      </c>
    </row>
    <row r="29" spans="3:5">
      <c r="C29" t="s">
        <v>10</v>
      </c>
      <c r="D29">
        <v>35</v>
      </c>
      <c r="E29">
        <v>15378.7</v>
      </c>
    </row>
    <row r="30" spans="3:5">
      <c r="C30" t="s">
        <v>11</v>
      </c>
      <c r="D30">
        <v>45</v>
      </c>
      <c r="E30">
        <v>23831.26</v>
      </c>
    </row>
    <row r="31" spans="3:5">
      <c r="C31" t="s">
        <v>12</v>
      </c>
      <c r="D31">
        <v>34</v>
      </c>
      <c r="E31">
        <v>17532.36</v>
      </c>
    </row>
    <row r="32" spans="3:5">
      <c r="C32" t="s">
        <v>13</v>
      </c>
      <c r="D32">
        <v>81</v>
      </c>
      <c r="E32">
        <v>103971.06</v>
      </c>
    </row>
    <row r="33" spans="3:5">
      <c r="C33" t="s">
        <v>14</v>
      </c>
      <c r="D33">
        <v>52</v>
      </c>
      <c r="E33">
        <v>24927.58</v>
      </c>
    </row>
    <row r="34" spans="3:5">
      <c r="C34" t="s">
        <v>15</v>
      </c>
      <c r="D34">
        <v>35</v>
      </c>
      <c r="E34">
        <v>17631.439999999999</v>
      </c>
    </row>
    <row r="35" spans="3:5">
      <c r="C35" t="s">
        <v>16</v>
      </c>
      <c r="D35">
        <v>30</v>
      </c>
      <c r="E35">
        <v>15402.68</v>
      </c>
    </row>
    <row r="36" spans="3:5">
      <c r="C36" t="s">
        <v>17</v>
      </c>
      <c r="D36">
        <v>52</v>
      </c>
      <c r="E36">
        <v>48636.959999999999</v>
      </c>
    </row>
    <row r="37" spans="3:5">
      <c r="C37" t="s">
        <v>18</v>
      </c>
      <c r="D37">
        <v>37</v>
      </c>
      <c r="E37">
        <v>28748.38</v>
      </c>
    </row>
    <row r="38" spans="3:5">
      <c r="C38" t="s">
        <v>19</v>
      </c>
      <c r="D38">
        <v>102</v>
      </c>
      <c r="E38">
        <v>85023</v>
      </c>
    </row>
    <row r="39" spans="3:5">
      <c r="C39" t="s">
        <v>20</v>
      </c>
      <c r="D39">
        <v>41</v>
      </c>
      <c r="E39">
        <v>21170.5</v>
      </c>
    </row>
    <row r="40" spans="3:5">
      <c r="C40" t="s">
        <v>21</v>
      </c>
      <c r="D40">
        <v>32</v>
      </c>
      <c r="E40">
        <v>28872.19</v>
      </c>
    </row>
    <row r="41" spans="3:5">
      <c r="C41" t="s">
        <v>22</v>
      </c>
      <c r="D41">
        <v>26</v>
      </c>
      <c r="E41">
        <v>16215.32</v>
      </c>
    </row>
    <row r="42" spans="3:5">
      <c r="C42" t="s">
        <v>23</v>
      </c>
      <c r="D42">
        <v>31</v>
      </c>
      <c r="E42">
        <v>15843.92</v>
      </c>
    </row>
    <row r="43" spans="3:5">
      <c r="C43" t="s">
        <v>24</v>
      </c>
      <c r="D43">
        <v>37</v>
      </c>
      <c r="E43">
        <v>23690.42</v>
      </c>
    </row>
    <row r="44" spans="3:5">
      <c r="C44" t="s">
        <v>25</v>
      </c>
      <c r="D44">
        <v>30</v>
      </c>
      <c r="E44">
        <v>18089.38</v>
      </c>
    </row>
    <row r="45" spans="3:5">
      <c r="C45" t="s">
        <v>26</v>
      </c>
      <c r="D45">
        <v>30</v>
      </c>
      <c r="E45">
        <v>13143.38</v>
      </c>
    </row>
    <row r="49" spans="4:11">
      <c r="H49" s="1" t="s">
        <v>29</v>
      </c>
    </row>
    <row r="50" spans="4:11" ht="15.75" thickBot="1"/>
    <row r="51" spans="4:11">
      <c r="D51" s="2"/>
      <c r="E51" s="3"/>
      <c r="F51" s="3"/>
      <c r="G51" s="3"/>
      <c r="H51" s="3"/>
      <c r="I51" s="3"/>
      <c r="J51" s="3"/>
      <c r="K51" s="4"/>
    </row>
    <row r="52" spans="4:11">
      <c r="D52" s="5">
        <v>1</v>
      </c>
      <c r="E52" s="6" t="s">
        <v>30</v>
      </c>
      <c r="F52" s="7"/>
      <c r="G52" s="7"/>
      <c r="H52" s="7"/>
      <c r="I52" s="7"/>
      <c r="J52" s="7"/>
      <c r="K52" s="8"/>
    </row>
    <row r="53" spans="4:11">
      <c r="D53" s="5">
        <v>2</v>
      </c>
      <c r="E53" s="6" t="s">
        <v>32</v>
      </c>
      <c r="F53" s="7"/>
      <c r="G53" s="7"/>
      <c r="H53" s="7"/>
      <c r="I53" s="7"/>
      <c r="J53" s="7"/>
      <c r="K53" s="8"/>
    </row>
    <row r="54" spans="4:11">
      <c r="D54" s="5">
        <v>3</v>
      </c>
      <c r="E54" s="6" t="s">
        <v>31</v>
      </c>
      <c r="F54" s="7"/>
      <c r="G54" s="7"/>
      <c r="H54" s="7"/>
      <c r="I54" s="7"/>
      <c r="J54" s="7"/>
      <c r="K54" s="8"/>
    </row>
    <row r="55" spans="4:11">
      <c r="D55" s="9">
        <v>4</v>
      </c>
      <c r="E55" s="6" t="s">
        <v>33</v>
      </c>
      <c r="F55" s="7"/>
      <c r="G55" s="7"/>
      <c r="H55" s="7"/>
      <c r="I55" s="7"/>
      <c r="J55" s="7"/>
      <c r="K55" s="8"/>
    </row>
    <row r="56" spans="4:11">
      <c r="D56" s="9"/>
      <c r="E56" s="7"/>
      <c r="F56" s="7"/>
      <c r="G56" s="7"/>
      <c r="H56" s="7"/>
      <c r="I56" s="7"/>
      <c r="J56" s="7"/>
      <c r="K56" s="8"/>
    </row>
    <row r="57" spans="4:11" ht="15.75" thickBot="1">
      <c r="D57" s="10"/>
      <c r="E57" s="11"/>
      <c r="F57" s="11"/>
      <c r="G57" s="11"/>
      <c r="H57" s="11"/>
      <c r="I57" s="11"/>
      <c r="J57" s="11"/>
      <c r="K57" s="12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75974-D563-4711-B76E-A08F35746976}">
  <dimension ref="A24:J121"/>
  <sheetViews>
    <sheetView topLeftCell="A25" workbookViewId="0">
      <selection activeCell="F24" sqref="F24"/>
    </sheetView>
  </sheetViews>
  <sheetFormatPr defaultRowHeight="15"/>
  <cols>
    <col min="1" max="1" width="11.42578125" bestFit="1" customWidth="1"/>
    <col min="2" max="2" width="14" bestFit="1" customWidth="1"/>
    <col min="3" max="3" width="17.7109375" bestFit="1" customWidth="1"/>
    <col min="4" max="4" width="14.140625" bestFit="1" customWidth="1"/>
    <col min="5" max="5" width="21.7109375" bestFit="1" customWidth="1"/>
    <col min="6" max="6" width="24.42578125" bestFit="1" customWidth="1"/>
    <col min="7" max="7" width="28.5703125" bestFit="1" customWidth="1"/>
    <col min="8" max="8" width="13.140625" bestFit="1" customWidth="1"/>
    <col min="9" max="12" width="18.7109375" bestFit="1" customWidth="1"/>
  </cols>
  <sheetData>
    <row r="24" spans="1:9" ht="15.75" thickBot="1"/>
    <row r="25" spans="1:9" ht="15.75" thickBot="1">
      <c r="D25" s="15" t="s">
        <v>28</v>
      </c>
    </row>
    <row r="27" spans="1:9">
      <c r="A27" t="s">
        <v>34</v>
      </c>
      <c r="B27" t="s">
        <v>35</v>
      </c>
      <c r="C27" t="s">
        <v>36</v>
      </c>
      <c r="D27" t="s">
        <v>1</v>
      </c>
      <c r="E27" t="s">
        <v>37</v>
      </c>
      <c r="F27" t="s">
        <v>131</v>
      </c>
    </row>
    <row r="28" spans="1:9">
      <c r="A28" t="s">
        <v>38</v>
      </c>
      <c r="B28" t="s">
        <v>39</v>
      </c>
      <c r="C28">
        <v>6</v>
      </c>
      <c r="D28">
        <v>40</v>
      </c>
      <c r="E28">
        <v>7</v>
      </c>
      <c r="F28">
        <v>7377.3</v>
      </c>
    </row>
    <row r="29" spans="1:9">
      <c r="A29" t="s">
        <v>40</v>
      </c>
      <c r="B29" t="s">
        <v>41</v>
      </c>
      <c r="C29">
        <v>3</v>
      </c>
      <c r="D29">
        <v>31</v>
      </c>
      <c r="E29">
        <v>10</v>
      </c>
      <c r="F29">
        <v>15794.99</v>
      </c>
    </row>
    <row r="30" spans="1:9">
      <c r="A30" t="s">
        <v>40</v>
      </c>
      <c r="B30" t="s">
        <v>42</v>
      </c>
      <c r="C30">
        <v>4</v>
      </c>
      <c r="D30">
        <v>29</v>
      </c>
      <c r="E30">
        <v>7</v>
      </c>
      <c r="F30">
        <v>9513.41</v>
      </c>
      <c r="H30" s="13" t="s">
        <v>129</v>
      </c>
      <c r="I30" t="s">
        <v>132</v>
      </c>
    </row>
    <row r="31" spans="1:9">
      <c r="A31" t="s">
        <v>43</v>
      </c>
      <c r="B31" t="s">
        <v>44</v>
      </c>
      <c r="C31">
        <v>1</v>
      </c>
      <c r="D31">
        <v>28</v>
      </c>
      <c r="E31">
        <v>28</v>
      </c>
      <c r="F31">
        <v>85023</v>
      </c>
      <c r="H31" s="14" t="s">
        <v>56</v>
      </c>
      <c r="I31">
        <v>49842.080000000002</v>
      </c>
    </row>
    <row r="32" spans="1:9">
      <c r="A32" t="s">
        <v>45</v>
      </c>
      <c r="B32" t="s">
        <v>46</v>
      </c>
      <c r="C32">
        <v>1</v>
      </c>
      <c r="D32">
        <v>27</v>
      </c>
      <c r="E32">
        <v>27</v>
      </c>
      <c r="F32">
        <v>88226.08</v>
      </c>
      <c r="H32" s="14" t="s">
        <v>44</v>
      </c>
      <c r="I32">
        <v>85023</v>
      </c>
    </row>
    <row r="33" spans="1:9">
      <c r="A33" t="s">
        <v>47</v>
      </c>
      <c r="B33" t="s">
        <v>48</v>
      </c>
      <c r="C33">
        <v>1</v>
      </c>
      <c r="D33">
        <v>27</v>
      </c>
      <c r="E33">
        <v>27</v>
      </c>
      <c r="F33">
        <v>103971.06</v>
      </c>
      <c r="H33" s="14" t="s">
        <v>52</v>
      </c>
      <c r="I33">
        <v>28757.56</v>
      </c>
    </row>
    <row r="34" spans="1:9">
      <c r="A34" t="s">
        <v>49</v>
      </c>
      <c r="B34" t="s">
        <v>50</v>
      </c>
      <c r="C34">
        <v>5</v>
      </c>
      <c r="D34">
        <v>26</v>
      </c>
      <c r="E34">
        <v>5</v>
      </c>
      <c r="F34">
        <v>4584.42</v>
      </c>
      <c r="H34" s="14" t="s">
        <v>72</v>
      </c>
      <c r="I34">
        <v>28748.38</v>
      </c>
    </row>
    <row r="35" spans="1:9">
      <c r="A35" t="s">
        <v>51</v>
      </c>
      <c r="B35" t="s">
        <v>52</v>
      </c>
      <c r="C35">
        <v>1</v>
      </c>
      <c r="D35">
        <v>18</v>
      </c>
      <c r="E35">
        <v>18</v>
      </c>
      <c r="F35">
        <v>28757.56</v>
      </c>
      <c r="H35" s="14" t="s">
        <v>55</v>
      </c>
      <c r="I35">
        <v>48636.959999999999</v>
      </c>
    </row>
    <row r="36" spans="1:9">
      <c r="A36" t="s">
        <v>51</v>
      </c>
      <c r="B36" t="s">
        <v>53</v>
      </c>
      <c r="C36">
        <v>1</v>
      </c>
      <c r="D36">
        <v>18</v>
      </c>
      <c r="E36">
        <v>18</v>
      </c>
      <c r="F36">
        <v>24927.58</v>
      </c>
      <c r="H36" s="14" t="s">
        <v>48</v>
      </c>
      <c r="I36">
        <v>103971.06</v>
      </c>
    </row>
    <row r="37" spans="1:9">
      <c r="A37" t="s">
        <v>54</v>
      </c>
      <c r="B37" t="s">
        <v>55</v>
      </c>
      <c r="C37">
        <v>1</v>
      </c>
      <c r="D37">
        <v>18</v>
      </c>
      <c r="E37">
        <v>18</v>
      </c>
      <c r="F37">
        <v>48636.959999999999</v>
      </c>
      <c r="H37" s="14" t="s">
        <v>46</v>
      </c>
      <c r="I37">
        <v>88226.08</v>
      </c>
    </row>
    <row r="38" spans="1:9">
      <c r="A38" t="s">
        <v>43</v>
      </c>
      <c r="B38" t="s">
        <v>56</v>
      </c>
      <c r="C38">
        <v>1</v>
      </c>
      <c r="D38">
        <v>17</v>
      </c>
      <c r="E38">
        <v>17</v>
      </c>
      <c r="F38">
        <v>49842.080000000002</v>
      </c>
      <c r="H38" s="14" t="s">
        <v>53</v>
      </c>
      <c r="I38">
        <v>24927.58</v>
      </c>
    </row>
    <row r="39" spans="1:9">
      <c r="A39" t="s">
        <v>57</v>
      </c>
      <c r="B39" t="s">
        <v>58</v>
      </c>
      <c r="C39">
        <v>1</v>
      </c>
      <c r="D39">
        <v>17</v>
      </c>
      <c r="E39">
        <v>17</v>
      </c>
      <c r="F39">
        <v>21041.26</v>
      </c>
      <c r="H39" s="14" t="s">
        <v>64</v>
      </c>
      <c r="I39">
        <v>23831.26</v>
      </c>
    </row>
    <row r="40" spans="1:9">
      <c r="A40" t="s">
        <v>59</v>
      </c>
      <c r="B40" t="s">
        <v>60</v>
      </c>
      <c r="C40">
        <v>1</v>
      </c>
      <c r="D40">
        <v>16</v>
      </c>
      <c r="E40">
        <v>16</v>
      </c>
      <c r="F40">
        <v>21170.5</v>
      </c>
      <c r="H40" s="14" t="s">
        <v>71</v>
      </c>
      <c r="I40">
        <v>28872.19</v>
      </c>
    </row>
    <row r="41" spans="1:9">
      <c r="A41" t="s">
        <v>61</v>
      </c>
      <c r="B41" t="s">
        <v>62</v>
      </c>
      <c r="C41">
        <v>3</v>
      </c>
      <c r="D41">
        <v>14</v>
      </c>
      <c r="E41">
        <v>5</v>
      </c>
      <c r="F41">
        <v>2579.37</v>
      </c>
      <c r="H41" s="14" t="s">
        <v>130</v>
      </c>
      <c r="I41">
        <v>51083.615000000005</v>
      </c>
    </row>
    <row r="42" spans="1:9">
      <c r="A42" t="s">
        <v>47</v>
      </c>
      <c r="B42" t="s">
        <v>63</v>
      </c>
      <c r="C42">
        <v>1</v>
      </c>
      <c r="D42">
        <v>14</v>
      </c>
      <c r="E42">
        <v>14</v>
      </c>
      <c r="F42">
        <v>17631.439999999999</v>
      </c>
    </row>
    <row r="43" spans="1:9">
      <c r="A43" t="s">
        <v>47</v>
      </c>
      <c r="B43" t="s">
        <v>64</v>
      </c>
      <c r="C43">
        <v>1</v>
      </c>
      <c r="D43">
        <v>14</v>
      </c>
      <c r="E43">
        <v>14</v>
      </c>
      <c r="F43">
        <v>23831.26</v>
      </c>
    </row>
    <row r="44" spans="1:9">
      <c r="A44" t="s">
        <v>65</v>
      </c>
      <c r="B44" t="s">
        <v>66</v>
      </c>
      <c r="C44">
        <v>1</v>
      </c>
      <c r="D44">
        <v>14</v>
      </c>
      <c r="E44">
        <v>14</v>
      </c>
      <c r="F44">
        <v>15378.7</v>
      </c>
    </row>
    <row r="45" spans="1:9">
      <c r="A45" t="s">
        <v>59</v>
      </c>
      <c r="B45" t="s">
        <v>67</v>
      </c>
      <c r="C45">
        <v>1</v>
      </c>
      <c r="D45">
        <v>13</v>
      </c>
      <c r="E45">
        <v>13</v>
      </c>
      <c r="F45">
        <v>9292.2000000000007</v>
      </c>
    </row>
    <row r="46" spans="1:9">
      <c r="A46" t="s">
        <v>68</v>
      </c>
      <c r="B46" t="s">
        <v>69</v>
      </c>
      <c r="C46">
        <v>2</v>
      </c>
      <c r="D46">
        <v>13</v>
      </c>
      <c r="E46">
        <v>7</v>
      </c>
      <c r="F46">
        <v>5736.18</v>
      </c>
    </row>
    <row r="47" spans="1:9">
      <c r="A47" t="s">
        <v>70</v>
      </c>
      <c r="B47" t="s">
        <v>71</v>
      </c>
      <c r="C47">
        <v>1</v>
      </c>
      <c r="D47">
        <v>13</v>
      </c>
      <c r="E47">
        <v>13</v>
      </c>
      <c r="F47">
        <v>28872.19</v>
      </c>
    </row>
    <row r="48" spans="1:9">
      <c r="A48" t="s">
        <v>47</v>
      </c>
      <c r="B48" t="s">
        <v>72</v>
      </c>
      <c r="C48">
        <v>1</v>
      </c>
      <c r="D48">
        <v>13</v>
      </c>
      <c r="E48">
        <v>13</v>
      </c>
      <c r="F48">
        <v>28748.38</v>
      </c>
    </row>
    <row r="49" spans="1:6">
      <c r="A49" t="s">
        <v>43</v>
      </c>
      <c r="B49" t="s">
        <v>73</v>
      </c>
      <c r="C49">
        <v>1</v>
      </c>
      <c r="D49">
        <v>12</v>
      </c>
      <c r="E49">
        <v>12</v>
      </c>
      <c r="F49">
        <v>17532.36</v>
      </c>
    </row>
    <row r="50" spans="1:6">
      <c r="A50" t="s">
        <v>57</v>
      </c>
      <c r="B50" t="s">
        <v>74</v>
      </c>
      <c r="C50">
        <v>1</v>
      </c>
      <c r="D50">
        <v>12</v>
      </c>
      <c r="E50">
        <v>12</v>
      </c>
      <c r="F50">
        <v>15402.68</v>
      </c>
    </row>
    <row r="51" spans="1:6">
      <c r="A51" t="s">
        <v>70</v>
      </c>
      <c r="B51" t="s">
        <v>75</v>
      </c>
      <c r="C51">
        <v>1</v>
      </c>
      <c r="D51">
        <v>11</v>
      </c>
      <c r="E51">
        <v>11</v>
      </c>
      <c r="F51">
        <v>18089.38</v>
      </c>
    </row>
    <row r="52" spans="1:6">
      <c r="A52" t="s">
        <v>43</v>
      </c>
      <c r="B52" t="s">
        <v>76</v>
      </c>
      <c r="C52">
        <v>2</v>
      </c>
      <c r="D52">
        <v>11</v>
      </c>
      <c r="E52">
        <v>6</v>
      </c>
      <c r="F52">
        <v>3022.3</v>
      </c>
    </row>
    <row r="53" spans="1:6">
      <c r="A53" t="s">
        <v>77</v>
      </c>
      <c r="B53" t="s">
        <v>78</v>
      </c>
      <c r="C53">
        <v>1</v>
      </c>
      <c r="D53">
        <v>11</v>
      </c>
      <c r="E53">
        <v>11</v>
      </c>
      <c r="F53">
        <v>15843.92</v>
      </c>
    </row>
    <row r="54" spans="1:6">
      <c r="A54" t="s">
        <v>59</v>
      </c>
      <c r="B54" t="s">
        <v>79</v>
      </c>
      <c r="C54">
        <v>1</v>
      </c>
      <c r="D54">
        <v>11</v>
      </c>
      <c r="E54">
        <v>11</v>
      </c>
      <c r="F54">
        <v>18534.080000000002</v>
      </c>
    </row>
    <row r="55" spans="1:6">
      <c r="A55" t="s">
        <v>57</v>
      </c>
      <c r="B55" t="s">
        <v>80</v>
      </c>
      <c r="C55">
        <v>1</v>
      </c>
      <c r="D55">
        <v>10</v>
      </c>
      <c r="E55">
        <v>10</v>
      </c>
      <c r="F55">
        <v>13143.38</v>
      </c>
    </row>
    <row r="56" spans="1:6">
      <c r="A56" t="s">
        <v>81</v>
      </c>
      <c r="B56" t="s">
        <v>82</v>
      </c>
      <c r="C56">
        <v>1</v>
      </c>
      <c r="D56">
        <v>10</v>
      </c>
      <c r="E56">
        <v>10</v>
      </c>
      <c r="F56">
        <v>21601.68</v>
      </c>
    </row>
    <row r="57" spans="1:6">
      <c r="A57" t="s">
        <v>83</v>
      </c>
      <c r="B57" t="s">
        <v>84</v>
      </c>
      <c r="C57">
        <v>1</v>
      </c>
      <c r="D57">
        <v>10</v>
      </c>
      <c r="E57">
        <v>10</v>
      </c>
      <c r="F57">
        <v>5996.84</v>
      </c>
    </row>
    <row r="58" spans="1:6">
      <c r="A58" t="s">
        <v>83</v>
      </c>
      <c r="B58" t="s">
        <v>85</v>
      </c>
      <c r="C58">
        <v>1</v>
      </c>
      <c r="D58">
        <v>10</v>
      </c>
      <c r="E58">
        <v>10</v>
      </c>
      <c r="F58">
        <v>7176.22</v>
      </c>
    </row>
    <row r="59" spans="1:6">
      <c r="A59" t="s">
        <v>59</v>
      </c>
      <c r="B59" t="s">
        <v>86</v>
      </c>
      <c r="C59">
        <v>1</v>
      </c>
      <c r="D59">
        <v>10</v>
      </c>
      <c r="E59">
        <v>10</v>
      </c>
      <c r="F59">
        <v>9182.43</v>
      </c>
    </row>
    <row r="60" spans="1:6">
      <c r="A60" t="s">
        <v>38</v>
      </c>
      <c r="B60" t="s">
        <v>87</v>
      </c>
      <c r="C60">
        <v>1</v>
      </c>
      <c r="D60">
        <v>10</v>
      </c>
      <c r="E60">
        <v>10</v>
      </c>
      <c r="F60">
        <v>6146.3</v>
      </c>
    </row>
    <row r="61" spans="1:6">
      <c r="A61" t="s">
        <v>40</v>
      </c>
      <c r="B61" t="s">
        <v>88</v>
      </c>
      <c r="C61">
        <v>1</v>
      </c>
      <c r="D61">
        <v>9</v>
      </c>
      <c r="E61">
        <v>9</v>
      </c>
      <c r="F61">
        <v>6068.2</v>
      </c>
    </row>
    <row r="62" spans="1:6">
      <c r="A62" t="s">
        <v>43</v>
      </c>
      <c r="B62" t="s">
        <v>89</v>
      </c>
      <c r="C62">
        <v>1</v>
      </c>
      <c r="D62">
        <v>9</v>
      </c>
      <c r="E62">
        <v>9</v>
      </c>
      <c r="F62">
        <v>14638.06</v>
      </c>
    </row>
    <row r="63" spans="1:6">
      <c r="A63" t="s">
        <v>45</v>
      </c>
      <c r="B63" t="s">
        <v>90</v>
      </c>
      <c r="C63">
        <v>1</v>
      </c>
      <c r="D63">
        <v>9</v>
      </c>
      <c r="E63">
        <v>9</v>
      </c>
      <c r="F63">
        <v>20073.86</v>
      </c>
    </row>
    <row r="64" spans="1:6">
      <c r="A64" t="s">
        <v>47</v>
      </c>
      <c r="B64" t="s">
        <v>91</v>
      </c>
      <c r="C64">
        <v>1</v>
      </c>
      <c r="D64">
        <v>9</v>
      </c>
      <c r="E64">
        <v>9</v>
      </c>
      <c r="F64">
        <v>8102.62</v>
      </c>
    </row>
    <row r="65" spans="1:9">
      <c r="A65" t="s">
        <v>47</v>
      </c>
      <c r="B65" t="s">
        <v>92</v>
      </c>
      <c r="C65">
        <v>1</v>
      </c>
      <c r="D65">
        <v>9</v>
      </c>
      <c r="E65">
        <v>9</v>
      </c>
      <c r="F65">
        <v>11863.8</v>
      </c>
    </row>
    <row r="66" spans="1:9">
      <c r="A66" t="s">
        <v>43</v>
      </c>
      <c r="B66" t="s">
        <v>93</v>
      </c>
      <c r="C66">
        <v>1</v>
      </c>
      <c r="D66">
        <v>9</v>
      </c>
      <c r="E66">
        <v>9</v>
      </c>
      <c r="F66">
        <v>11441.63</v>
      </c>
    </row>
    <row r="67" spans="1:9">
      <c r="A67" t="s">
        <v>43</v>
      </c>
      <c r="B67" t="s">
        <v>94</v>
      </c>
      <c r="C67">
        <v>1</v>
      </c>
      <c r="D67">
        <v>9</v>
      </c>
      <c r="E67">
        <v>9</v>
      </c>
      <c r="F67">
        <v>17797.45</v>
      </c>
    </row>
    <row r="68" spans="1:9">
      <c r="A68" t="s">
        <v>40</v>
      </c>
      <c r="B68" t="s">
        <v>95</v>
      </c>
      <c r="C68">
        <v>1</v>
      </c>
      <c r="D68">
        <v>8</v>
      </c>
      <c r="E68">
        <v>8</v>
      </c>
      <c r="F68">
        <v>8140.54</v>
      </c>
      <c r="H68" s="13" t="s">
        <v>129</v>
      </c>
      <c r="I68" t="s">
        <v>128</v>
      </c>
    </row>
    <row r="69" spans="1:9">
      <c r="A69" t="s">
        <v>96</v>
      </c>
      <c r="B69" t="s">
        <v>97</v>
      </c>
      <c r="C69">
        <v>1</v>
      </c>
      <c r="D69">
        <v>8</v>
      </c>
      <c r="E69">
        <v>8</v>
      </c>
      <c r="F69">
        <v>15612.88</v>
      </c>
      <c r="H69" s="14" t="s">
        <v>61</v>
      </c>
      <c r="I69">
        <v>14</v>
      </c>
    </row>
    <row r="70" spans="1:9">
      <c r="A70" t="s">
        <v>98</v>
      </c>
      <c r="B70" t="s">
        <v>99</v>
      </c>
      <c r="C70">
        <v>1</v>
      </c>
      <c r="D70">
        <v>8</v>
      </c>
      <c r="E70">
        <v>8</v>
      </c>
      <c r="F70">
        <v>10769.86</v>
      </c>
      <c r="H70" s="14" t="s">
        <v>45</v>
      </c>
      <c r="I70">
        <v>36</v>
      </c>
    </row>
    <row r="71" spans="1:9">
      <c r="A71" t="s">
        <v>81</v>
      </c>
      <c r="B71" t="s">
        <v>100</v>
      </c>
      <c r="C71">
        <v>1</v>
      </c>
      <c r="D71">
        <v>7</v>
      </c>
      <c r="E71">
        <v>7</v>
      </c>
      <c r="F71">
        <v>9736.08</v>
      </c>
      <c r="H71" s="14" t="s">
        <v>81</v>
      </c>
      <c r="I71">
        <v>17</v>
      </c>
    </row>
    <row r="72" spans="1:9">
      <c r="A72" t="s">
        <v>65</v>
      </c>
      <c r="B72" t="s">
        <v>101</v>
      </c>
      <c r="C72">
        <v>1</v>
      </c>
      <c r="D72">
        <v>7</v>
      </c>
      <c r="E72">
        <v>7</v>
      </c>
      <c r="F72">
        <v>3161.35</v>
      </c>
      <c r="H72" s="14" t="s">
        <v>40</v>
      </c>
      <c r="I72">
        <v>77</v>
      </c>
    </row>
    <row r="73" spans="1:9">
      <c r="A73" t="s">
        <v>59</v>
      </c>
      <c r="B73" t="s">
        <v>102</v>
      </c>
      <c r="C73">
        <v>2</v>
      </c>
      <c r="D73">
        <v>7</v>
      </c>
      <c r="E73">
        <v>4</v>
      </c>
      <c r="F73">
        <v>2394.0300000000002</v>
      </c>
      <c r="H73" s="14" t="s">
        <v>70</v>
      </c>
      <c r="I73">
        <v>27</v>
      </c>
    </row>
    <row r="74" spans="1:9">
      <c r="A74" t="s">
        <v>98</v>
      </c>
      <c r="B74" t="s">
        <v>103</v>
      </c>
      <c r="C74">
        <v>2</v>
      </c>
      <c r="D74">
        <v>7</v>
      </c>
      <c r="E74">
        <v>4</v>
      </c>
      <c r="F74">
        <v>2669.57</v>
      </c>
      <c r="H74" s="14" t="s">
        <v>77</v>
      </c>
      <c r="I74">
        <v>17</v>
      </c>
    </row>
    <row r="75" spans="1:9">
      <c r="A75" t="s">
        <v>77</v>
      </c>
      <c r="B75" t="s">
        <v>104</v>
      </c>
      <c r="C75">
        <v>1</v>
      </c>
      <c r="D75">
        <v>6</v>
      </c>
      <c r="E75">
        <v>6</v>
      </c>
      <c r="F75">
        <v>16585.009999999998</v>
      </c>
      <c r="H75" s="14" t="s">
        <v>65</v>
      </c>
      <c r="I75">
        <v>21</v>
      </c>
    </row>
    <row r="76" spans="1:9">
      <c r="A76" t="s">
        <v>47</v>
      </c>
      <c r="B76" t="s">
        <v>105</v>
      </c>
      <c r="C76">
        <v>1</v>
      </c>
      <c r="D76">
        <v>6</v>
      </c>
      <c r="E76">
        <v>6</v>
      </c>
      <c r="F76">
        <v>2381.8000000000002</v>
      </c>
      <c r="H76" s="14" t="s">
        <v>59</v>
      </c>
      <c r="I76">
        <v>74</v>
      </c>
    </row>
    <row r="77" spans="1:9">
      <c r="A77" t="s">
        <v>96</v>
      </c>
      <c r="B77" t="s">
        <v>106</v>
      </c>
      <c r="C77">
        <v>1</v>
      </c>
      <c r="D77">
        <v>6</v>
      </c>
      <c r="E77">
        <v>6</v>
      </c>
      <c r="F77">
        <v>9289.08</v>
      </c>
      <c r="H77" s="14" t="s">
        <v>47</v>
      </c>
      <c r="I77">
        <v>112</v>
      </c>
    </row>
    <row r="78" spans="1:9">
      <c r="A78" t="s">
        <v>47</v>
      </c>
      <c r="B78" t="s">
        <v>107</v>
      </c>
      <c r="C78">
        <v>1</v>
      </c>
      <c r="D78">
        <v>6</v>
      </c>
      <c r="E78">
        <v>6</v>
      </c>
      <c r="F78">
        <v>4778.1400000000003</v>
      </c>
      <c r="H78" s="14" t="s">
        <v>54</v>
      </c>
      <c r="I78">
        <v>18</v>
      </c>
    </row>
    <row r="79" spans="1:9">
      <c r="A79" t="s">
        <v>108</v>
      </c>
      <c r="B79" t="s">
        <v>109</v>
      </c>
      <c r="C79">
        <v>1</v>
      </c>
      <c r="D79">
        <v>6</v>
      </c>
      <c r="E79">
        <v>6</v>
      </c>
      <c r="F79">
        <v>2940.35</v>
      </c>
      <c r="H79" s="14" t="s">
        <v>83</v>
      </c>
      <c r="I79">
        <v>24</v>
      </c>
    </row>
    <row r="80" spans="1:9">
      <c r="A80" t="s">
        <v>59</v>
      </c>
      <c r="B80" t="s">
        <v>110</v>
      </c>
      <c r="C80">
        <v>1</v>
      </c>
      <c r="D80">
        <v>5</v>
      </c>
      <c r="E80">
        <v>5</v>
      </c>
      <c r="F80">
        <v>11666.9</v>
      </c>
      <c r="H80" s="14" t="s">
        <v>49</v>
      </c>
      <c r="I80">
        <v>26</v>
      </c>
    </row>
    <row r="81" spans="1:9">
      <c r="A81" t="s">
        <v>43</v>
      </c>
      <c r="B81" t="s">
        <v>111</v>
      </c>
      <c r="C81">
        <v>1</v>
      </c>
      <c r="D81">
        <v>5</v>
      </c>
      <c r="E81">
        <v>5</v>
      </c>
      <c r="F81">
        <v>3063.2</v>
      </c>
      <c r="H81" s="14" t="s">
        <v>114</v>
      </c>
      <c r="I81">
        <v>5</v>
      </c>
    </row>
    <row r="82" spans="1:9">
      <c r="A82" t="s">
        <v>59</v>
      </c>
      <c r="B82" t="s">
        <v>112</v>
      </c>
      <c r="C82">
        <v>1</v>
      </c>
      <c r="D82">
        <v>5</v>
      </c>
      <c r="E82">
        <v>5</v>
      </c>
      <c r="F82">
        <v>1480</v>
      </c>
      <c r="H82" s="14" t="s">
        <v>108</v>
      </c>
      <c r="I82">
        <v>6</v>
      </c>
    </row>
    <row r="83" spans="1:9">
      <c r="A83" t="s">
        <v>47</v>
      </c>
      <c r="B83" t="s">
        <v>113</v>
      </c>
      <c r="C83">
        <v>1</v>
      </c>
      <c r="D83">
        <v>5</v>
      </c>
      <c r="E83">
        <v>5</v>
      </c>
      <c r="F83">
        <v>3339.5</v>
      </c>
      <c r="H83" s="14" t="s">
        <v>68</v>
      </c>
      <c r="I83">
        <v>13</v>
      </c>
    </row>
    <row r="84" spans="1:9">
      <c r="A84" t="s">
        <v>114</v>
      </c>
      <c r="B84" t="s">
        <v>115</v>
      </c>
      <c r="C84">
        <v>1</v>
      </c>
      <c r="D84">
        <v>5</v>
      </c>
      <c r="E84">
        <v>5</v>
      </c>
      <c r="F84">
        <v>5112.8</v>
      </c>
      <c r="H84" s="14" t="s">
        <v>98</v>
      </c>
      <c r="I84">
        <v>20</v>
      </c>
    </row>
    <row r="85" spans="1:9">
      <c r="A85" t="s">
        <v>47</v>
      </c>
      <c r="B85" t="s">
        <v>116</v>
      </c>
      <c r="C85">
        <v>1</v>
      </c>
      <c r="D85">
        <v>5</v>
      </c>
      <c r="E85">
        <v>5</v>
      </c>
      <c r="F85">
        <v>5042.2</v>
      </c>
      <c r="H85" s="14" t="s">
        <v>51</v>
      </c>
      <c r="I85">
        <v>36</v>
      </c>
    </row>
    <row r="86" spans="1:9">
      <c r="A86" t="s">
        <v>98</v>
      </c>
      <c r="B86" t="s">
        <v>117</v>
      </c>
      <c r="C86">
        <v>1</v>
      </c>
      <c r="D86">
        <v>5</v>
      </c>
      <c r="E86">
        <v>5</v>
      </c>
      <c r="F86">
        <v>836.7</v>
      </c>
      <c r="H86" s="14" t="s">
        <v>96</v>
      </c>
      <c r="I86">
        <v>14</v>
      </c>
    </row>
    <row r="87" spans="1:9">
      <c r="A87" t="s">
        <v>59</v>
      </c>
      <c r="B87" t="s">
        <v>118</v>
      </c>
      <c r="C87">
        <v>1</v>
      </c>
      <c r="D87">
        <v>4</v>
      </c>
      <c r="E87">
        <v>4</v>
      </c>
      <c r="F87">
        <v>1992.05</v>
      </c>
      <c r="H87" s="14" t="s">
        <v>38</v>
      </c>
      <c r="I87">
        <v>50</v>
      </c>
    </row>
    <row r="88" spans="1:9">
      <c r="A88" t="s">
        <v>43</v>
      </c>
      <c r="B88" t="s">
        <v>119</v>
      </c>
      <c r="C88">
        <v>1</v>
      </c>
      <c r="D88">
        <v>4</v>
      </c>
      <c r="E88">
        <v>4</v>
      </c>
      <c r="F88">
        <v>3076.47</v>
      </c>
      <c r="H88" s="14" t="s">
        <v>43</v>
      </c>
      <c r="I88">
        <v>112</v>
      </c>
    </row>
    <row r="89" spans="1:9">
      <c r="A89" t="s">
        <v>47</v>
      </c>
      <c r="B89" t="s">
        <v>120</v>
      </c>
      <c r="C89">
        <v>1</v>
      </c>
      <c r="D89">
        <v>4</v>
      </c>
      <c r="E89">
        <v>4</v>
      </c>
      <c r="F89">
        <v>1984.36</v>
      </c>
      <c r="H89" s="14" t="s">
        <v>57</v>
      </c>
      <c r="I89">
        <v>41</v>
      </c>
    </row>
    <row r="90" spans="1:9">
      <c r="A90" t="s">
        <v>83</v>
      </c>
      <c r="B90" t="s">
        <v>121</v>
      </c>
      <c r="C90">
        <v>1</v>
      </c>
      <c r="D90">
        <v>4</v>
      </c>
      <c r="E90">
        <v>4</v>
      </c>
      <c r="F90">
        <v>249.7</v>
      </c>
      <c r="H90" s="14" t="s">
        <v>130</v>
      </c>
      <c r="I90">
        <v>760</v>
      </c>
    </row>
    <row r="91" spans="1:9">
      <c r="A91" t="s">
        <v>43</v>
      </c>
      <c r="B91" t="s">
        <v>122</v>
      </c>
      <c r="C91">
        <v>1</v>
      </c>
      <c r="D91">
        <v>3</v>
      </c>
      <c r="E91">
        <v>3</v>
      </c>
      <c r="F91">
        <v>1571.2</v>
      </c>
    </row>
    <row r="92" spans="1:9">
      <c r="A92" t="s">
        <v>59</v>
      </c>
      <c r="B92" t="s">
        <v>123</v>
      </c>
      <c r="C92">
        <v>1</v>
      </c>
      <c r="D92">
        <v>3</v>
      </c>
      <c r="E92">
        <v>3</v>
      </c>
      <c r="F92">
        <v>2213.35</v>
      </c>
    </row>
    <row r="93" spans="1:9">
      <c r="A93" t="s">
        <v>70</v>
      </c>
      <c r="B93" t="s">
        <v>124</v>
      </c>
      <c r="C93">
        <v>1</v>
      </c>
      <c r="D93">
        <v>3</v>
      </c>
      <c r="E93">
        <v>3</v>
      </c>
      <c r="F93">
        <v>522.5</v>
      </c>
    </row>
    <row r="94" spans="1:9">
      <c r="A94" t="s">
        <v>43</v>
      </c>
      <c r="B94" t="s">
        <v>125</v>
      </c>
      <c r="C94">
        <v>1</v>
      </c>
      <c r="D94">
        <v>3</v>
      </c>
      <c r="E94">
        <v>3</v>
      </c>
      <c r="F94">
        <v>1947.24</v>
      </c>
    </row>
    <row r="95" spans="1:9">
      <c r="A95" t="s">
        <v>43</v>
      </c>
      <c r="B95" t="s">
        <v>126</v>
      </c>
      <c r="C95">
        <v>1</v>
      </c>
      <c r="D95">
        <v>2</v>
      </c>
      <c r="E95">
        <v>2</v>
      </c>
      <c r="F95">
        <v>357</v>
      </c>
    </row>
    <row r="96" spans="1:9">
      <c r="A96" t="s">
        <v>57</v>
      </c>
      <c r="B96" t="s">
        <v>127</v>
      </c>
      <c r="C96">
        <v>1</v>
      </c>
      <c r="D96">
        <v>2</v>
      </c>
      <c r="E96">
        <v>2</v>
      </c>
      <c r="F96">
        <v>1488.7</v>
      </c>
    </row>
    <row r="108" spans="1:10" ht="15.75" thickBot="1"/>
    <row r="109" spans="1:10" ht="15.75" thickBot="1">
      <c r="E109" s="15" t="s">
        <v>29</v>
      </c>
    </row>
    <row r="110" spans="1:10" ht="15.75" thickBot="1"/>
    <row r="111" spans="1:10">
      <c r="A111" s="2"/>
      <c r="B111" s="3"/>
      <c r="C111" s="3"/>
      <c r="D111" s="3"/>
      <c r="E111" s="3"/>
      <c r="F111" s="3"/>
      <c r="G111" s="3"/>
      <c r="H111" s="3"/>
      <c r="I111" s="3"/>
      <c r="J111" s="4"/>
    </row>
    <row r="112" spans="1:10">
      <c r="A112" s="9">
        <v>1</v>
      </c>
      <c r="B112" s="6" t="s">
        <v>133</v>
      </c>
      <c r="C112" s="7"/>
      <c r="D112" s="7"/>
      <c r="E112" s="7"/>
      <c r="F112" s="7"/>
      <c r="G112" s="7"/>
      <c r="H112" s="7"/>
      <c r="I112" s="7"/>
      <c r="J112" s="8"/>
    </row>
    <row r="113" spans="1:10">
      <c r="A113" s="9">
        <v>2</v>
      </c>
      <c r="B113" s="17" t="s">
        <v>134</v>
      </c>
      <c r="C113" s="6"/>
      <c r="D113" s="6"/>
      <c r="E113" s="6"/>
      <c r="F113" s="6"/>
      <c r="G113" s="7"/>
      <c r="H113" s="7"/>
      <c r="I113" s="7"/>
      <c r="J113" s="8"/>
    </row>
    <row r="114" spans="1:10">
      <c r="A114" s="9"/>
      <c r="B114" s="18" t="s">
        <v>135</v>
      </c>
      <c r="C114" s="6"/>
      <c r="D114" s="6"/>
      <c r="E114" s="6"/>
      <c r="F114" s="6"/>
      <c r="G114" s="7"/>
      <c r="H114" s="7"/>
      <c r="I114" s="7"/>
      <c r="J114" s="8"/>
    </row>
    <row r="115" spans="1:10">
      <c r="A115" s="9"/>
      <c r="B115" s="18" t="s">
        <v>136</v>
      </c>
      <c r="C115" s="6"/>
      <c r="D115" s="6"/>
      <c r="E115" s="6"/>
      <c r="F115" s="6"/>
      <c r="G115" s="7"/>
      <c r="H115" s="7"/>
      <c r="I115" s="7"/>
      <c r="J115" s="8"/>
    </row>
    <row r="116" spans="1:10">
      <c r="A116" s="9">
        <v>3</v>
      </c>
      <c r="B116" s="17" t="s">
        <v>137</v>
      </c>
      <c r="C116" s="6"/>
      <c r="D116" s="6"/>
      <c r="E116" s="6"/>
      <c r="F116" s="7"/>
      <c r="G116" s="7"/>
      <c r="H116" s="7"/>
      <c r="I116" s="7"/>
      <c r="J116" s="8"/>
    </row>
    <row r="117" spans="1:10">
      <c r="A117" s="9"/>
      <c r="B117" s="18" t="s">
        <v>138</v>
      </c>
      <c r="C117" s="18" t="s">
        <v>139</v>
      </c>
      <c r="D117" s="6"/>
      <c r="E117" s="6"/>
      <c r="F117" s="7"/>
      <c r="G117" s="7"/>
      <c r="H117" s="7"/>
      <c r="I117" s="7"/>
      <c r="J117" s="8"/>
    </row>
    <row r="118" spans="1:10">
      <c r="A118" s="9"/>
      <c r="B118" s="18" t="s">
        <v>140</v>
      </c>
      <c r="C118" s="6"/>
      <c r="D118" s="6"/>
      <c r="E118" s="6"/>
      <c r="F118" s="7"/>
      <c r="G118" s="7"/>
      <c r="H118" s="7"/>
      <c r="I118" s="7"/>
      <c r="J118" s="8"/>
    </row>
    <row r="119" spans="1:10">
      <c r="A119" s="9">
        <v>4</v>
      </c>
      <c r="B119" s="6" t="s">
        <v>141</v>
      </c>
      <c r="C119" s="7"/>
      <c r="D119" s="7"/>
      <c r="E119" s="7"/>
      <c r="F119" s="7"/>
      <c r="G119" s="7"/>
      <c r="H119" s="7"/>
      <c r="I119" s="7"/>
      <c r="J119" s="8"/>
    </row>
    <row r="120" spans="1:10">
      <c r="A120" s="9">
        <v>5</v>
      </c>
      <c r="B120" s="6" t="s">
        <v>142</v>
      </c>
      <c r="C120" s="7"/>
      <c r="D120" s="7"/>
      <c r="E120" s="7"/>
      <c r="F120" s="7"/>
      <c r="G120" s="7"/>
      <c r="H120" s="7"/>
      <c r="I120" s="7"/>
      <c r="J120" s="8"/>
    </row>
    <row r="121" spans="1:10" ht="15.75" thickBot="1">
      <c r="A121" s="10"/>
      <c r="B121" s="11"/>
      <c r="C121" s="11"/>
      <c r="D121" s="11"/>
      <c r="E121" s="11"/>
      <c r="F121" s="11"/>
      <c r="G121" s="11"/>
      <c r="H121" s="11"/>
      <c r="I121" s="11"/>
      <c r="J121" s="12"/>
    </row>
  </sheetData>
  <pageMargins left="0.7" right="0.7" top="0.75" bottom="0.75" header="0.3" footer="0.3"/>
  <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E08A7-D858-4D76-82D6-5370D09057D1}">
  <dimension ref="A28:J133"/>
  <sheetViews>
    <sheetView topLeftCell="A115" zoomScaleNormal="100" workbookViewId="0">
      <selection activeCell="F123" sqref="F123"/>
    </sheetView>
  </sheetViews>
  <sheetFormatPr defaultRowHeight="15"/>
  <cols>
    <col min="1" max="1" width="13.7109375" bestFit="1" customWidth="1"/>
    <col min="2" max="2" width="33.140625" bestFit="1" customWidth="1"/>
    <col min="3" max="3" width="21" bestFit="1" customWidth="1"/>
    <col min="4" max="4" width="14.140625" bestFit="1" customWidth="1"/>
    <col min="5" max="5" width="13.85546875" bestFit="1" customWidth="1"/>
    <col min="6" max="6" width="20.5703125" bestFit="1" customWidth="1"/>
    <col min="9" max="9" width="14.140625" bestFit="1" customWidth="1"/>
    <col min="10" max="10" width="26.5703125" bestFit="1" customWidth="1"/>
    <col min="11" max="11" width="11.7109375" bestFit="1" customWidth="1"/>
    <col min="12" max="12" width="11.5703125" bestFit="1" customWidth="1"/>
    <col min="13" max="13" width="13.85546875" bestFit="1" customWidth="1"/>
    <col min="14" max="14" width="14.28515625" bestFit="1" customWidth="1"/>
    <col min="15" max="15" width="13.140625" bestFit="1" customWidth="1"/>
    <col min="16" max="17" width="8.28515625" bestFit="1" customWidth="1"/>
    <col min="18" max="18" width="11.28515625" bestFit="1" customWidth="1"/>
  </cols>
  <sheetData>
    <row r="28" spans="1:6" ht="15.75" thickBot="1"/>
    <row r="29" spans="1:6" ht="15.75" thickBot="1">
      <c r="C29" s="15" t="s">
        <v>28</v>
      </c>
    </row>
    <row r="31" spans="1:6">
      <c r="A31" t="s">
        <v>0</v>
      </c>
      <c r="B31" t="s">
        <v>143</v>
      </c>
      <c r="C31" t="s">
        <v>144</v>
      </c>
      <c r="D31" t="s">
        <v>145</v>
      </c>
      <c r="E31" t="s">
        <v>146</v>
      </c>
      <c r="F31" t="s">
        <v>147</v>
      </c>
    </row>
    <row r="32" spans="1:6">
      <c r="A32" t="s">
        <v>6</v>
      </c>
      <c r="B32" t="s">
        <v>148</v>
      </c>
      <c r="C32" t="s">
        <v>149</v>
      </c>
      <c r="D32">
        <v>16</v>
      </c>
      <c r="E32">
        <v>17994.96</v>
      </c>
      <c r="F32" t="s">
        <v>150</v>
      </c>
    </row>
    <row r="33" spans="1:10">
      <c r="A33" t="s">
        <v>13</v>
      </c>
      <c r="B33" t="s">
        <v>151</v>
      </c>
      <c r="C33" t="s">
        <v>152</v>
      </c>
      <c r="D33">
        <v>14</v>
      </c>
      <c r="E33">
        <v>36059.68</v>
      </c>
      <c r="F33" t="s">
        <v>150</v>
      </c>
    </row>
    <row r="34" spans="1:10">
      <c r="A34" t="s">
        <v>14</v>
      </c>
      <c r="B34" t="s">
        <v>153</v>
      </c>
      <c r="C34" t="s">
        <v>152</v>
      </c>
      <c r="D34">
        <v>11</v>
      </c>
      <c r="E34">
        <v>8298.68</v>
      </c>
      <c r="F34" t="s">
        <v>150</v>
      </c>
    </row>
    <row r="35" spans="1:10">
      <c r="A35" t="s">
        <v>19</v>
      </c>
      <c r="B35" t="s">
        <v>154</v>
      </c>
      <c r="C35" t="s">
        <v>155</v>
      </c>
      <c r="D35">
        <v>9</v>
      </c>
      <c r="E35">
        <v>18561.53</v>
      </c>
      <c r="F35" t="s">
        <v>150</v>
      </c>
      <c r="I35" s="13" t="s">
        <v>129</v>
      </c>
      <c r="J35" t="s">
        <v>313</v>
      </c>
    </row>
    <row r="36" spans="1:10">
      <c r="A36" t="s">
        <v>20</v>
      </c>
      <c r="B36" t="s">
        <v>156</v>
      </c>
      <c r="C36" t="s">
        <v>157</v>
      </c>
      <c r="D36">
        <v>8</v>
      </c>
      <c r="E36">
        <v>5368.58</v>
      </c>
      <c r="F36" t="s">
        <v>150</v>
      </c>
      <c r="I36" s="14" t="s">
        <v>225</v>
      </c>
      <c r="J36">
        <v>5</v>
      </c>
    </row>
    <row r="37" spans="1:10">
      <c r="A37" t="s">
        <v>5</v>
      </c>
      <c r="B37" t="s">
        <v>158</v>
      </c>
      <c r="C37" t="s">
        <v>149</v>
      </c>
      <c r="D37">
        <v>8</v>
      </c>
      <c r="E37">
        <v>7241.6</v>
      </c>
      <c r="F37" t="s">
        <v>150</v>
      </c>
      <c r="I37" s="14" t="s">
        <v>150</v>
      </c>
      <c r="J37">
        <v>23</v>
      </c>
    </row>
    <row r="38" spans="1:10">
      <c r="A38" t="s">
        <v>23</v>
      </c>
      <c r="B38" t="s">
        <v>159</v>
      </c>
      <c r="C38" t="s">
        <v>160</v>
      </c>
      <c r="D38">
        <v>7</v>
      </c>
      <c r="E38">
        <v>3505.15</v>
      </c>
      <c r="F38" t="s">
        <v>161</v>
      </c>
      <c r="I38" s="14" t="s">
        <v>161</v>
      </c>
      <c r="J38">
        <v>20</v>
      </c>
    </row>
    <row r="39" spans="1:10">
      <c r="A39" t="s">
        <v>16</v>
      </c>
      <c r="B39" t="s">
        <v>162</v>
      </c>
      <c r="C39" t="s">
        <v>149</v>
      </c>
      <c r="D39">
        <v>7</v>
      </c>
      <c r="E39">
        <v>7360.83</v>
      </c>
      <c r="F39" t="s">
        <v>150</v>
      </c>
      <c r="I39" s="14" t="s">
        <v>223</v>
      </c>
      <c r="J39">
        <v>41</v>
      </c>
    </row>
    <row r="40" spans="1:10">
      <c r="A40" t="s">
        <v>18</v>
      </c>
      <c r="B40" t="s">
        <v>163</v>
      </c>
      <c r="C40" t="s">
        <v>152</v>
      </c>
      <c r="D40">
        <v>7</v>
      </c>
      <c r="E40">
        <v>9455.1</v>
      </c>
      <c r="F40" t="s">
        <v>150</v>
      </c>
      <c r="I40" s="14" t="s">
        <v>130</v>
      </c>
      <c r="J40">
        <v>89</v>
      </c>
    </row>
    <row r="41" spans="1:10">
      <c r="A41" t="s">
        <v>7</v>
      </c>
      <c r="B41" t="s">
        <v>164</v>
      </c>
      <c r="C41" t="s">
        <v>152</v>
      </c>
      <c r="D41">
        <v>7</v>
      </c>
      <c r="E41">
        <v>18778.150000000001</v>
      </c>
      <c r="F41" t="s">
        <v>150</v>
      </c>
    </row>
    <row r="42" spans="1:10">
      <c r="A42" t="s">
        <v>24</v>
      </c>
      <c r="B42" t="s">
        <v>165</v>
      </c>
      <c r="C42" t="s">
        <v>152</v>
      </c>
      <c r="D42">
        <v>7</v>
      </c>
      <c r="E42">
        <v>9075.9</v>
      </c>
      <c r="F42" t="s">
        <v>150</v>
      </c>
    </row>
    <row r="43" spans="1:10">
      <c r="A43" t="s">
        <v>11</v>
      </c>
      <c r="B43" t="s">
        <v>166</v>
      </c>
      <c r="C43" t="s">
        <v>149</v>
      </c>
      <c r="D43">
        <v>7</v>
      </c>
      <c r="E43">
        <v>8163.8</v>
      </c>
      <c r="F43" t="s">
        <v>150</v>
      </c>
    </row>
    <row r="44" spans="1:10">
      <c r="A44" t="s">
        <v>10</v>
      </c>
      <c r="B44" t="s">
        <v>167</v>
      </c>
      <c r="C44" t="s">
        <v>149</v>
      </c>
      <c r="D44">
        <v>7</v>
      </c>
      <c r="E44">
        <v>4856.1099999999997</v>
      </c>
      <c r="F44" t="s">
        <v>150</v>
      </c>
    </row>
    <row r="45" spans="1:10">
      <c r="A45" t="s">
        <v>26</v>
      </c>
      <c r="B45" t="s">
        <v>168</v>
      </c>
      <c r="C45" t="s">
        <v>157</v>
      </c>
      <c r="D45">
        <v>6</v>
      </c>
      <c r="E45">
        <v>3577.5</v>
      </c>
      <c r="F45" t="s">
        <v>161</v>
      </c>
    </row>
    <row r="46" spans="1:10">
      <c r="A46" t="s">
        <v>15</v>
      </c>
      <c r="B46" t="s">
        <v>169</v>
      </c>
      <c r="C46" t="s">
        <v>149</v>
      </c>
      <c r="D46">
        <v>6</v>
      </c>
      <c r="E46">
        <v>5224</v>
      </c>
      <c r="F46" t="s">
        <v>150</v>
      </c>
    </row>
    <row r="47" spans="1:10">
      <c r="A47" t="s">
        <v>170</v>
      </c>
      <c r="B47" t="s">
        <v>171</v>
      </c>
      <c r="C47" t="s">
        <v>160</v>
      </c>
      <c r="D47">
        <v>5</v>
      </c>
      <c r="E47">
        <v>2203.17</v>
      </c>
      <c r="F47" t="s">
        <v>161</v>
      </c>
    </row>
    <row r="48" spans="1:10">
      <c r="A48" t="s">
        <v>172</v>
      </c>
      <c r="B48" t="s">
        <v>173</v>
      </c>
      <c r="C48" t="s">
        <v>149</v>
      </c>
      <c r="D48">
        <v>5</v>
      </c>
      <c r="E48">
        <v>2833.5</v>
      </c>
      <c r="F48" t="s">
        <v>161</v>
      </c>
    </row>
    <row r="49" spans="1:10">
      <c r="A49" t="s">
        <v>174</v>
      </c>
      <c r="B49" t="s">
        <v>175</v>
      </c>
      <c r="C49" t="s">
        <v>155</v>
      </c>
      <c r="D49">
        <v>5</v>
      </c>
      <c r="E49">
        <v>3548.6</v>
      </c>
      <c r="F49" t="s">
        <v>161</v>
      </c>
    </row>
    <row r="50" spans="1:10">
      <c r="A50" t="s">
        <v>176</v>
      </c>
      <c r="B50" t="s">
        <v>177</v>
      </c>
      <c r="C50" t="s">
        <v>178</v>
      </c>
      <c r="D50">
        <v>5</v>
      </c>
      <c r="E50">
        <v>4807.7</v>
      </c>
      <c r="F50" t="s">
        <v>150</v>
      </c>
    </row>
    <row r="51" spans="1:10">
      <c r="A51" t="s">
        <v>25</v>
      </c>
      <c r="B51" t="s">
        <v>179</v>
      </c>
      <c r="C51" t="s">
        <v>149</v>
      </c>
      <c r="D51">
        <v>5</v>
      </c>
      <c r="E51">
        <v>4753.05</v>
      </c>
      <c r="F51" t="s">
        <v>150</v>
      </c>
    </row>
    <row r="52" spans="1:10">
      <c r="A52" t="s">
        <v>2</v>
      </c>
      <c r="B52" t="s">
        <v>180</v>
      </c>
      <c r="C52" t="s">
        <v>152</v>
      </c>
      <c r="D52">
        <v>5</v>
      </c>
      <c r="E52">
        <v>18980.150000000001</v>
      </c>
      <c r="F52" t="s">
        <v>150</v>
      </c>
    </row>
    <row r="53" spans="1:10">
      <c r="A53" t="s">
        <v>181</v>
      </c>
      <c r="B53" t="s">
        <v>182</v>
      </c>
      <c r="C53" t="s">
        <v>152</v>
      </c>
      <c r="D53">
        <v>5</v>
      </c>
      <c r="E53">
        <v>5070.2</v>
      </c>
      <c r="F53" t="s">
        <v>150</v>
      </c>
    </row>
    <row r="54" spans="1:10">
      <c r="A54" t="s">
        <v>17</v>
      </c>
      <c r="B54" t="s">
        <v>183</v>
      </c>
      <c r="C54" t="s">
        <v>155</v>
      </c>
      <c r="D54">
        <v>5</v>
      </c>
      <c r="E54">
        <v>20914.23</v>
      </c>
      <c r="F54" t="s">
        <v>150</v>
      </c>
    </row>
    <row r="55" spans="1:10">
      <c r="A55" t="s">
        <v>184</v>
      </c>
      <c r="B55" t="s">
        <v>185</v>
      </c>
      <c r="C55" t="s">
        <v>149</v>
      </c>
      <c r="D55">
        <v>5</v>
      </c>
      <c r="E55">
        <v>1944.9</v>
      </c>
      <c r="F55" t="s">
        <v>161</v>
      </c>
    </row>
    <row r="56" spans="1:10">
      <c r="A56" t="s">
        <v>186</v>
      </c>
      <c r="B56" t="s">
        <v>187</v>
      </c>
      <c r="C56" t="s">
        <v>160</v>
      </c>
      <c r="D56">
        <v>5</v>
      </c>
      <c r="E56">
        <v>2491.04</v>
      </c>
      <c r="F56" t="s">
        <v>161</v>
      </c>
    </row>
    <row r="57" spans="1:10">
      <c r="A57" t="s">
        <v>12</v>
      </c>
      <c r="B57" t="s">
        <v>188</v>
      </c>
      <c r="C57" t="s">
        <v>160</v>
      </c>
      <c r="D57">
        <v>5</v>
      </c>
      <c r="E57">
        <v>4174.13</v>
      </c>
      <c r="F57" t="s">
        <v>161</v>
      </c>
    </row>
    <row r="58" spans="1:10">
      <c r="A58" t="s">
        <v>189</v>
      </c>
      <c r="B58" t="s">
        <v>190</v>
      </c>
      <c r="C58" t="s">
        <v>160</v>
      </c>
      <c r="D58">
        <v>4</v>
      </c>
      <c r="E58">
        <v>1338.8</v>
      </c>
      <c r="F58" t="s">
        <v>161</v>
      </c>
    </row>
    <row r="59" spans="1:10">
      <c r="A59" t="s">
        <v>191</v>
      </c>
      <c r="B59" t="s">
        <v>192</v>
      </c>
      <c r="C59" t="s">
        <v>149</v>
      </c>
      <c r="D59">
        <v>4</v>
      </c>
      <c r="E59">
        <v>1078.8</v>
      </c>
      <c r="F59" t="s">
        <v>161</v>
      </c>
    </row>
    <row r="60" spans="1:10">
      <c r="A60" t="s">
        <v>193</v>
      </c>
      <c r="B60" t="s">
        <v>194</v>
      </c>
      <c r="C60" t="s">
        <v>149</v>
      </c>
      <c r="D60">
        <v>4</v>
      </c>
      <c r="E60">
        <v>2182.6999999999998</v>
      </c>
      <c r="F60" t="s">
        <v>161</v>
      </c>
    </row>
    <row r="61" spans="1:10">
      <c r="A61" t="s">
        <v>195</v>
      </c>
      <c r="B61" t="s">
        <v>196</v>
      </c>
      <c r="C61" t="s">
        <v>152</v>
      </c>
      <c r="D61">
        <v>4</v>
      </c>
      <c r="E61">
        <v>11694.38</v>
      </c>
      <c r="F61" t="s">
        <v>150</v>
      </c>
    </row>
    <row r="62" spans="1:10">
      <c r="A62" t="s">
        <v>8</v>
      </c>
      <c r="B62" t="s">
        <v>197</v>
      </c>
      <c r="C62" t="s">
        <v>198</v>
      </c>
      <c r="D62">
        <v>4</v>
      </c>
      <c r="E62">
        <v>6464</v>
      </c>
      <c r="F62" t="s">
        <v>150</v>
      </c>
    </row>
    <row r="63" spans="1:10">
      <c r="A63" t="s">
        <v>199</v>
      </c>
      <c r="B63" t="s">
        <v>200</v>
      </c>
      <c r="C63" t="s">
        <v>178</v>
      </c>
      <c r="D63">
        <v>4</v>
      </c>
      <c r="E63">
        <v>3630.88</v>
      </c>
      <c r="F63" t="s">
        <v>161</v>
      </c>
    </row>
    <row r="64" spans="1:10">
      <c r="A64" t="s">
        <v>201</v>
      </c>
      <c r="B64" t="s">
        <v>202</v>
      </c>
      <c r="C64" t="s">
        <v>203</v>
      </c>
      <c r="D64">
        <v>4</v>
      </c>
      <c r="E64">
        <v>1405.4</v>
      </c>
      <c r="F64" t="s">
        <v>161</v>
      </c>
      <c r="I64" s="13" t="s">
        <v>129</v>
      </c>
      <c r="J64" t="s">
        <v>314</v>
      </c>
    </row>
    <row r="65" spans="1:10">
      <c r="A65" t="s">
        <v>204</v>
      </c>
      <c r="B65" t="s">
        <v>205</v>
      </c>
      <c r="C65" t="s">
        <v>178</v>
      </c>
      <c r="D65">
        <v>4</v>
      </c>
      <c r="E65">
        <v>2757.27</v>
      </c>
      <c r="F65" t="s">
        <v>161</v>
      </c>
      <c r="I65" s="14" t="s">
        <v>152</v>
      </c>
      <c r="J65">
        <v>18</v>
      </c>
    </row>
    <row r="66" spans="1:10">
      <c r="A66" t="s">
        <v>206</v>
      </c>
      <c r="B66" t="s">
        <v>207</v>
      </c>
      <c r="C66" t="s">
        <v>203</v>
      </c>
      <c r="D66">
        <v>4</v>
      </c>
      <c r="E66">
        <v>3097.6</v>
      </c>
      <c r="F66" t="s">
        <v>161</v>
      </c>
      <c r="I66" s="14" t="s">
        <v>160</v>
      </c>
      <c r="J66">
        <v>10</v>
      </c>
    </row>
    <row r="67" spans="1:10">
      <c r="A67" t="s">
        <v>208</v>
      </c>
      <c r="B67" t="s">
        <v>209</v>
      </c>
      <c r="C67" t="s">
        <v>178</v>
      </c>
      <c r="D67">
        <v>4</v>
      </c>
      <c r="E67">
        <v>709.1</v>
      </c>
      <c r="F67" t="s">
        <v>161</v>
      </c>
      <c r="I67" s="14" t="s">
        <v>178</v>
      </c>
      <c r="J67">
        <v>13</v>
      </c>
    </row>
    <row r="68" spans="1:10">
      <c r="A68" t="s">
        <v>210</v>
      </c>
      <c r="B68" t="s">
        <v>211</v>
      </c>
      <c r="C68" t="s">
        <v>149</v>
      </c>
      <c r="D68">
        <v>4</v>
      </c>
      <c r="E68">
        <v>2080.94</v>
      </c>
      <c r="F68" t="s">
        <v>161</v>
      </c>
      <c r="I68" s="14" t="s">
        <v>149</v>
      </c>
      <c r="J68">
        <v>21</v>
      </c>
    </row>
    <row r="69" spans="1:10">
      <c r="A69" t="s">
        <v>4</v>
      </c>
      <c r="B69" t="s">
        <v>212</v>
      </c>
      <c r="C69" t="s">
        <v>149</v>
      </c>
      <c r="D69">
        <v>4</v>
      </c>
      <c r="E69">
        <v>4559.0200000000004</v>
      </c>
      <c r="F69" t="s">
        <v>150</v>
      </c>
      <c r="I69" s="14" t="s">
        <v>203</v>
      </c>
      <c r="J69">
        <v>3</v>
      </c>
    </row>
    <row r="70" spans="1:10">
      <c r="A70" t="s">
        <v>22</v>
      </c>
      <c r="B70" t="s">
        <v>213</v>
      </c>
      <c r="C70" t="s">
        <v>149</v>
      </c>
      <c r="D70">
        <v>4</v>
      </c>
      <c r="E70">
        <v>4540</v>
      </c>
      <c r="F70" t="s">
        <v>150</v>
      </c>
      <c r="I70" s="14" t="s">
        <v>155</v>
      </c>
      <c r="J70">
        <v>14</v>
      </c>
    </row>
    <row r="71" spans="1:10">
      <c r="A71" t="s">
        <v>3</v>
      </c>
      <c r="B71" t="s">
        <v>214</v>
      </c>
      <c r="C71" t="s">
        <v>149</v>
      </c>
      <c r="D71">
        <v>4</v>
      </c>
      <c r="E71">
        <v>5043</v>
      </c>
      <c r="F71" t="s">
        <v>150</v>
      </c>
      <c r="I71" s="14" t="s">
        <v>198</v>
      </c>
      <c r="J71">
        <v>4</v>
      </c>
    </row>
    <row r="72" spans="1:10">
      <c r="A72" t="s">
        <v>215</v>
      </c>
      <c r="B72" t="s">
        <v>216</v>
      </c>
      <c r="C72" t="s">
        <v>152</v>
      </c>
      <c r="D72">
        <v>4</v>
      </c>
      <c r="E72">
        <v>1157.8699999999999</v>
      </c>
      <c r="F72" t="s">
        <v>161</v>
      </c>
      <c r="I72" s="14" t="s">
        <v>157</v>
      </c>
      <c r="J72">
        <v>6</v>
      </c>
    </row>
    <row r="73" spans="1:10">
      <c r="A73" t="s">
        <v>217</v>
      </c>
      <c r="B73" t="s">
        <v>218</v>
      </c>
      <c r="C73" t="s">
        <v>152</v>
      </c>
      <c r="D73">
        <v>4</v>
      </c>
      <c r="E73">
        <v>828.5</v>
      </c>
      <c r="F73" t="s">
        <v>161</v>
      </c>
      <c r="I73" s="14" t="s">
        <v>130</v>
      </c>
      <c r="J73">
        <v>89</v>
      </c>
    </row>
    <row r="74" spans="1:10">
      <c r="A74" t="s">
        <v>219</v>
      </c>
      <c r="B74" t="s">
        <v>220</v>
      </c>
      <c r="C74" t="s">
        <v>178</v>
      </c>
      <c r="D74">
        <v>4</v>
      </c>
      <c r="E74">
        <v>2396.6999999999998</v>
      </c>
      <c r="F74" t="s">
        <v>161</v>
      </c>
    </row>
    <row r="75" spans="1:10">
      <c r="A75" t="s">
        <v>221</v>
      </c>
      <c r="B75" t="s">
        <v>222</v>
      </c>
      <c r="C75" t="s">
        <v>152</v>
      </c>
      <c r="D75">
        <v>3</v>
      </c>
      <c r="E75">
        <v>811</v>
      </c>
      <c r="F75" t="s">
        <v>223</v>
      </c>
    </row>
    <row r="76" spans="1:10">
      <c r="A76" t="s">
        <v>9</v>
      </c>
      <c r="B76" t="s">
        <v>224</v>
      </c>
      <c r="C76" t="s">
        <v>155</v>
      </c>
      <c r="D76">
        <v>3</v>
      </c>
      <c r="E76">
        <v>4976.6000000000004</v>
      </c>
      <c r="F76" t="s">
        <v>225</v>
      </c>
    </row>
    <row r="77" spans="1:10">
      <c r="A77" t="s">
        <v>226</v>
      </c>
      <c r="B77" t="s">
        <v>227</v>
      </c>
      <c r="C77" t="s">
        <v>152</v>
      </c>
      <c r="D77">
        <v>3</v>
      </c>
      <c r="E77">
        <v>2756</v>
      </c>
      <c r="F77" t="s">
        <v>223</v>
      </c>
    </row>
    <row r="78" spans="1:10">
      <c r="A78" t="s">
        <v>228</v>
      </c>
      <c r="B78" t="s">
        <v>229</v>
      </c>
      <c r="C78" t="s">
        <v>149</v>
      </c>
      <c r="D78">
        <v>3</v>
      </c>
      <c r="E78">
        <v>3316.9</v>
      </c>
      <c r="F78" t="s">
        <v>223</v>
      </c>
    </row>
    <row r="79" spans="1:10">
      <c r="A79" t="s">
        <v>21</v>
      </c>
      <c r="B79" t="s">
        <v>230</v>
      </c>
      <c r="C79" t="s">
        <v>152</v>
      </c>
      <c r="D79">
        <v>3</v>
      </c>
      <c r="E79">
        <v>9415.81</v>
      </c>
      <c r="F79" t="s">
        <v>225</v>
      </c>
    </row>
    <row r="80" spans="1:10">
      <c r="A80" t="s">
        <v>231</v>
      </c>
      <c r="B80" t="s">
        <v>232</v>
      </c>
      <c r="C80" t="s">
        <v>157</v>
      </c>
      <c r="D80">
        <v>3</v>
      </c>
      <c r="E80">
        <v>357.09</v>
      </c>
      <c r="F80" t="s">
        <v>223</v>
      </c>
    </row>
    <row r="81" spans="1:6">
      <c r="A81" t="s">
        <v>233</v>
      </c>
      <c r="B81" t="s">
        <v>234</v>
      </c>
      <c r="C81" t="s">
        <v>160</v>
      </c>
      <c r="D81">
        <v>3</v>
      </c>
      <c r="E81">
        <v>753</v>
      </c>
      <c r="F81" t="s">
        <v>223</v>
      </c>
    </row>
    <row r="82" spans="1:6">
      <c r="A82" t="s">
        <v>235</v>
      </c>
      <c r="B82" t="s">
        <v>236</v>
      </c>
      <c r="C82" t="s">
        <v>160</v>
      </c>
      <c r="D82">
        <v>3</v>
      </c>
      <c r="E82">
        <v>931.37</v>
      </c>
      <c r="F82" t="s">
        <v>223</v>
      </c>
    </row>
    <row r="83" spans="1:6">
      <c r="A83" t="s">
        <v>237</v>
      </c>
      <c r="B83" t="s">
        <v>238</v>
      </c>
      <c r="C83" t="s">
        <v>178</v>
      </c>
      <c r="D83">
        <v>3</v>
      </c>
      <c r="E83">
        <v>1990.4</v>
      </c>
      <c r="F83" t="s">
        <v>223</v>
      </c>
    </row>
    <row r="84" spans="1:6">
      <c r="A84" t="s">
        <v>239</v>
      </c>
      <c r="B84" t="s">
        <v>240</v>
      </c>
      <c r="C84" t="s">
        <v>157</v>
      </c>
      <c r="D84">
        <v>3</v>
      </c>
      <c r="E84">
        <v>5208</v>
      </c>
      <c r="F84" t="s">
        <v>225</v>
      </c>
    </row>
    <row r="85" spans="1:6">
      <c r="A85" t="s">
        <v>241</v>
      </c>
      <c r="B85" t="s">
        <v>242</v>
      </c>
      <c r="C85" t="s">
        <v>178</v>
      </c>
      <c r="D85">
        <v>3</v>
      </c>
      <c r="E85">
        <v>1921.8</v>
      </c>
      <c r="F85" t="s">
        <v>223</v>
      </c>
    </row>
    <row r="86" spans="1:6">
      <c r="A86" t="s">
        <v>243</v>
      </c>
      <c r="B86" t="s">
        <v>244</v>
      </c>
      <c r="C86" t="s">
        <v>149</v>
      </c>
      <c r="D86">
        <v>3</v>
      </c>
      <c r="E86">
        <v>1778.2</v>
      </c>
      <c r="F86" t="s">
        <v>223</v>
      </c>
    </row>
    <row r="87" spans="1:6">
      <c r="A87" t="s">
        <v>245</v>
      </c>
      <c r="B87" t="s">
        <v>246</v>
      </c>
      <c r="C87" t="s">
        <v>178</v>
      </c>
      <c r="D87">
        <v>3</v>
      </c>
      <c r="E87">
        <v>1000.15</v>
      </c>
      <c r="F87" t="s">
        <v>223</v>
      </c>
    </row>
    <row r="88" spans="1:6">
      <c r="A88" t="s">
        <v>247</v>
      </c>
      <c r="B88" t="s">
        <v>248</v>
      </c>
      <c r="C88" t="s">
        <v>152</v>
      </c>
      <c r="D88">
        <v>3</v>
      </c>
      <c r="E88">
        <v>10608</v>
      </c>
      <c r="F88" t="s">
        <v>225</v>
      </c>
    </row>
    <row r="89" spans="1:6">
      <c r="A89" t="s">
        <v>249</v>
      </c>
      <c r="B89" t="s">
        <v>250</v>
      </c>
      <c r="C89" t="s">
        <v>149</v>
      </c>
      <c r="D89">
        <v>3</v>
      </c>
      <c r="E89">
        <v>2972</v>
      </c>
      <c r="F89" t="s">
        <v>223</v>
      </c>
    </row>
    <row r="90" spans="1:6">
      <c r="A90" t="s">
        <v>251</v>
      </c>
      <c r="B90" t="s">
        <v>252</v>
      </c>
      <c r="C90" t="s">
        <v>149</v>
      </c>
      <c r="D90">
        <v>2</v>
      </c>
      <c r="E90">
        <v>880.6</v>
      </c>
      <c r="F90" t="s">
        <v>223</v>
      </c>
    </row>
    <row r="91" spans="1:6">
      <c r="A91" t="s">
        <v>253</v>
      </c>
      <c r="B91" t="s">
        <v>254</v>
      </c>
      <c r="C91" t="s">
        <v>178</v>
      </c>
      <c r="D91">
        <v>2</v>
      </c>
      <c r="E91">
        <v>143.30000000000001</v>
      </c>
      <c r="F91" t="s">
        <v>223</v>
      </c>
    </row>
    <row r="92" spans="1:6">
      <c r="A92" t="s">
        <v>255</v>
      </c>
      <c r="B92" t="s">
        <v>256</v>
      </c>
      <c r="C92" t="s">
        <v>155</v>
      </c>
      <c r="D92">
        <v>2</v>
      </c>
      <c r="E92">
        <v>1789.8</v>
      </c>
      <c r="F92" t="s">
        <v>223</v>
      </c>
    </row>
    <row r="93" spans="1:6">
      <c r="A93" t="s">
        <v>257</v>
      </c>
      <c r="B93" t="s">
        <v>258</v>
      </c>
      <c r="C93" t="s">
        <v>198</v>
      </c>
      <c r="D93">
        <v>2</v>
      </c>
      <c r="E93">
        <v>1379.2</v>
      </c>
      <c r="F93" t="s">
        <v>223</v>
      </c>
    </row>
    <row r="94" spans="1:6">
      <c r="A94" t="s">
        <v>259</v>
      </c>
      <c r="B94" t="s">
        <v>260</v>
      </c>
      <c r="C94" t="s">
        <v>198</v>
      </c>
      <c r="D94">
        <v>2</v>
      </c>
      <c r="E94">
        <v>1938.4</v>
      </c>
      <c r="F94" t="s">
        <v>223</v>
      </c>
    </row>
    <row r="95" spans="1:6">
      <c r="A95" t="s">
        <v>261</v>
      </c>
      <c r="B95" t="s">
        <v>262</v>
      </c>
      <c r="C95" t="s">
        <v>160</v>
      </c>
      <c r="D95">
        <v>2</v>
      </c>
      <c r="E95">
        <v>1485.12</v>
      </c>
      <c r="F95" t="s">
        <v>223</v>
      </c>
    </row>
    <row r="96" spans="1:6">
      <c r="A96" t="s">
        <v>263</v>
      </c>
      <c r="B96" t="s">
        <v>264</v>
      </c>
      <c r="C96" t="s">
        <v>157</v>
      </c>
      <c r="D96">
        <v>2</v>
      </c>
      <c r="E96">
        <v>196</v>
      </c>
      <c r="F96" t="s">
        <v>223</v>
      </c>
    </row>
    <row r="97" spans="1:6">
      <c r="A97" t="s">
        <v>265</v>
      </c>
      <c r="B97" t="s">
        <v>266</v>
      </c>
      <c r="C97" t="s">
        <v>155</v>
      </c>
      <c r="D97">
        <v>2</v>
      </c>
      <c r="E97">
        <v>2496.0100000000002</v>
      </c>
      <c r="F97" t="s">
        <v>223</v>
      </c>
    </row>
    <row r="98" spans="1:6">
      <c r="A98" t="s">
        <v>267</v>
      </c>
      <c r="B98" t="s">
        <v>268</v>
      </c>
      <c r="C98" t="s">
        <v>178</v>
      </c>
      <c r="D98">
        <v>2</v>
      </c>
      <c r="E98">
        <v>2095</v>
      </c>
      <c r="F98" t="s">
        <v>223</v>
      </c>
    </row>
    <row r="99" spans="1:6">
      <c r="A99" t="s">
        <v>269</v>
      </c>
      <c r="B99" t="s">
        <v>270</v>
      </c>
      <c r="C99" t="s">
        <v>152</v>
      </c>
      <c r="D99">
        <v>2</v>
      </c>
      <c r="E99">
        <v>1426</v>
      </c>
      <c r="F99" t="s">
        <v>223</v>
      </c>
    </row>
    <row r="100" spans="1:6">
      <c r="A100" t="s">
        <v>271</v>
      </c>
      <c r="B100" t="s">
        <v>272</v>
      </c>
      <c r="C100" t="s">
        <v>152</v>
      </c>
      <c r="D100">
        <v>2</v>
      </c>
      <c r="E100">
        <v>4365.2</v>
      </c>
      <c r="F100" t="s">
        <v>223</v>
      </c>
    </row>
    <row r="101" spans="1:6">
      <c r="A101" t="s">
        <v>273</v>
      </c>
      <c r="B101" t="s">
        <v>274</v>
      </c>
      <c r="C101" t="s">
        <v>149</v>
      </c>
      <c r="D101">
        <v>2</v>
      </c>
      <c r="E101">
        <v>328</v>
      </c>
      <c r="F101" t="s">
        <v>223</v>
      </c>
    </row>
    <row r="102" spans="1:6">
      <c r="A102" t="s">
        <v>275</v>
      </c>
      <c r="B102" t="s">
        <v>276</v>
      </c>
      <c r="C102" t="s">
        <v>178</v>
      </c>
      <c r="D102">
        <v>2</v>
      </c>
      <c r="E102">
        <v>1311</v>
      </c>
      <c r="F102" t="s">
        <v>223</v>
      </c>
    </row>
    <row r="103" spans="1:6">
      <c r="A103" t="s">
        <v>277</v>
      </c>
      <c r="B103" t="s">
        <v>278</v>
      </c>
      <c r="C103" t="s">
        <v>178</v>
      </c>
      <c r="D103">
        <v>2</v>
      </c>
      <c r="E103">
        <v>640.9</v>
      </c>
      <c r="F103" t="s">
        <v>223</v>
      </c>
    </row>
    <row r="104" spans="1:6">
      <c r="A104" t="s">
        <v>279</v>
      </c>
      <c r="B104" t="s">
        <v>280</v>
      </c>
      <c r="C104" t="s">
        <v>160</v>
      </c>
      <c r="D104">
        <v>2</v>
      </c>
      <c r="E104">
        <v>2350</v>
      </c>
      <c r="F104" t="s">
        <v>223</v>
      </c>
    </row>
    <row r="105" spans="1:6">
      <c r="A105" t="s">
        <v>281</v>
      </c>
      <c r="B105" t="s">
        <v>282</v>
      </c>
      <c r="C105" t="s">
        <v>155</v>
      </c>
      <c r="D105">
        <v>1</v>
      </c>
      <c r="E105">
        <v>3026.85</v>
      </c>
      <c r="F105" t="s">
        <v>223</v>
      </c>
    </row>
    <row r="106" spans="1:6">
      <c r="A106" t="s">
        <v>283</v>
      </c>
      <c r="B106" t="s">
        <v>284</v>
      </c>
      <c r="C106" t="s">
        <v>178</v>
      </c>
      <c r="D106">
        <v>1</v>
      </c>
      <c r="E106">
        <v>80</v>
      </c>
      <c r="F106" t="s">
        <v>223</v>
      </c>
    </row>
    <row r="107" spans="1:6">
      <c r="A107" t="s">
        <v>285</v>
      </c>
      <c r="B107" t="s">
        <v>286</v>
      </c>
      <c r="C107" t="s">
        <v>155</v>
      </c>
      <c r="D107">
        <v>1</v>
      </c>
      <c r="E107">
        <v>1485</v>
      </c>
      <c r="F107" t="s">
        <v>223</v>
      </c>
    </row>
    <row r="108" spans="1:6">
      <c r="A108" t="s">
        <v>287</v>
      </c>
      <c r="B108" t="s">
        <v>288</v>
      </c>
      <c r="C108" t="s">
        <v>198</v>
      </c>
      <c r="D108">
        <v>1</v>
      </c>
      <c r="E108">
        <v>1863.4</v>
      </c>
      <c r="F108" t="s">
        <v>223</v>
      </c>
    </row>
    <row r="109" spans="1:6">
      <c r="A109" t="s">
        <v>289</v>
      </c>
      <c r="B109" t="s">
        <v>290</v>
      </c>
      <c r="C109" t="s">
        <v>152</v>
      </c>
      <c r="D109">
        <v>1</v>
      </c>
      <c r="E109">
        <v>10540</v>
      </c>
      <c r="F109" t="s">
        <v>225</v>
      </c>
    </row>
    <row r="110" spans="1:6">
      <c r="A110" t="s">
        <v>291</v>
      </c>
      <c r="B110" t="s">
        <v>292</v>
      </c>
      <c r="C110" t="s">
        <v>155</v>
      </c>
      <c r="D110">
        <v>1</v>
      </c>
      <c r="E110">
        <v>2079</v>
      </c>
      <c r="F110" t="s">
        <v>223</v>
      </c>
    </row>
    <row r="111" spans="1:6">
      <c r="A111" t="s">
        <v>293</v>
      </c>
      <c r="B111" t="s">
        <v>294</v>
      </c>
      <c r="C111" t="s">
        <v>149</v>
      </c>
      <c r="D111">
        <v>1</v>
      </c>
      <c r="E111">
        <v>210</v>
      </c>
      <c r="F111" t="s">
        <v>223</v>
      </c>
    </row>
    <row r="112" spans="1:6">
      <c r="A112" t="s">
        <v>295</v>
      </c>
      <c r="B112" t="s">
        <v>296</v>
      </c>
      <c r="C112" t="s">
        <v>155</v>
      </c>
      <c r="D112">
        <v>1</v>
      </c>
      <c r="E112">
        <v>990</v>
      </c>
      <c r="F112" t="s">
        <v>223</v>
      </c>
    </row>
    <row r="113" spans="1:9">
      <c r="A113" t="s">
        <v>297</v>
      </c>
      <c r="B113" t="s">
        <v>298</v>
      </c>
      <c r="C113" t="s">
        <v>155</v>
      </c>
      <c r="D113">
        <v>1</v>
      </c>
      <c r="E113">
        <v>585</v>
      </c>
      <c r="F113" t="s">
        <v>223</v>
      </c>
    </row>
    <row r="114" spans="1:9">
      <c r="A114" t="s">
        <v>299</v>
      </c>
      <c r="B114" t="s">
        <v>300</v>
      </c>
      <c r="C114" t="s">
        <v>160</v>
      </c>
      <c r="D114">
        <v>1</v>
      </c>
      <c r="E114">
        <v>640.5</v>
      </c>
      <c r="F114" t="s">
        <v>223</v>
      </c>
    </row>
    <row r="115" spans="1:9">
      <c r="A115" t="s">
        <v>301</v>
      </c>
      <c r="B115" t="s">
        <v>302</v>
      </c>
      <c r="C115" t="s">
        <v>157</v>
      </c>
      <c r="D115">
        <v>1</v>
      </c>
      <c r="E115">
        <v>625</v>
      </c>
      <c r="F115" t="s">
        <v>223</v>
      </c>
    </row>
    <row r="116" spans="1:9">
      <c r="A116" t="s">
        <v>303</v>
      </c>
      <c r="B116" t="s">
        <v>304</v>
      </c>
      <c r="C116" t="s">
        <v>152</v>
      </c>
      <c r="D116">
        <v>1</v>
      </c>
      <c r="E116">
        <v>2775</v>
      </c>
      <c r="F116" t="s">
        <v>223</v>
      </c>
    </row>
    <row r="117" spans="1:9">
      <c r="A117" t="s">
        <v>305</v>
      </c>
      <c r="B117" t="s">
        <v>306</v>
      </c>
      <c r="C117" t="s">
        <v>155</v>
      </c>
      <c r="D117">
        <v>1</v>
      </c>
      <c r="E117">
        <v>742.74</v>
      </c>
      <c r="F117" t="s">
        <v>223</v>
      </c>
    </row>
    <row r="118" spans="1:9">
      <c r="A118" t="s">
        <v>307</v>
      </c>
      <c r="B118" t="s">
        <v>308</v>
      </c>
      <c r="C118" t="s">
        <v>155</v>
      </c>
      <c r="D118">
        <v>1</v>
      </c>
      <c r="E118">
        <v>1733.06</v>
      </c>
      <c r="F118" t="s">
        <v>223</v>
      </c>
    </row>
    <row r="119" spans="1:9">
      <c r="A119" t="s">
        <v>309</v>
      </c>
      <c r="B119" t="s">
        <v>310</v>
      </c>
      <c r="C119" t="s">
        <v>155</v>
      </c>
      <c r="D119">
        <v>1</v>
      </c>
      <c r="E119">
        <v>656</v>
      </c>
      <c r="F119" t="s">
        <v>223</v>
      </c>
    </row>
    <row r="120" spans="1:9">
      <c r="A120" t="s">
        <v>311</v>
      </c>
      <c r="B120" t="s">
        <v>312</v>
      </c>
      <c r="C120" t="s">
        <v>203</v>
      </c>
      <c r="D120">
        <v>1</v>
      </c>
      <c r="E120">
        <v>338.2</v>
      </c>
      <c r="F120" t="s">
        <v>223</v>
      </c>
    </row>
    <row r="123" spans="1:9" ht="15.75" thickBot="1"/>
    <row r="124" spans="1:9" ht="15.75" thickBot="1">
      <c r="D124" s="19" t="s">
        <v>29</v>
      </c>
    </row>
    <row r="125" spans="1:9">
      <c r="A125" s="20">
        <v>1</v>
      </c>
      <c r="B125" s="21" t="s">
        <v>316</v>
      </c>
      <c r="C125" s="21"/>
      <c r="D125" s="21"/>
      <c r="E125" s="21"/>
      <c r="F125" s="21"/>
      <c r="G125" s="21"/>
      <c r="H125" s="21"/>
      <c r="I125" s="22"/>
    </row>
    <row r="126" spans="1:9">
      <c r="A126" s="23">
        <v>2</v>
      </c>
      <c r="B126" s="6" t="s">
        <v>315</v>
      </c>
      <c r="C126" s="6"/>
      <c r="D126" s="6"/>
      <c r="E126" s="6"/>
      <c r="F126" s="6"/>
      <c r="G126" s="6"/>
      <c r="H126" s="6"/>
      <c r="I126" s="24"/>
    </row>
    <row r="127" spans="1:9">
      <c r="A127" s="23">
        <v>3</v>
      </c>
      <c r="B127" s="6" t="s">
        <v>317</v>
      </c>
      <c r="C127" s="6"/>
      <c r="D127" s="6"/>
      <c r="E127" s="6"/>
      <c r="F127" s="6"/>
      <c r="G127" s="6"/>
      <c r="H127" s="6"/>
      <c r="I127" s="24"/>
    </row>
    <row r="128" spans="1:9">
      <c r="A128" s="23">
        <v>4</v>
      </c>
      <c r="B128" s="18" t="s">
        <v>318</v>
      </c>
      <c r="C128" s="6"/>
      <c r="D128" s="6"/>
      <c r="E128" s="6"/>
      <c r="F128" s="6"/>
      <c r="G128" s="6"/>
      <c r="H128" s="6"/>
      <c r="I128" s="24"/>
    </row>
    <row r="129" spans="1:9">
      <c r="A129" s="23">
        <v>5</v>
      </c>
      <c r="B129" s="6" t="s">
        <v>319</v>
      </c>
      <c r="C129" s="6"/>
      <c r="D129" s="6"/>
      <c r="E129" s="6"/>
      <c r="F129" s="6"/>
      <c r="G129" s="6"/>
      <c r="H129" s="6"/>
      <c r="I129" s="24"/>
    </row>
    <row r="130" spans="1:9">
      <c r="A130" s="23"/>
      <c r="B130" s="6" t="s">
        <v>320</v>
      </c>
      <c r="C130" s="6"/>
      <c r="D130" s="6"/>
      <c r="E130" s="6"/>
      <c r="F130" s="6"/>
      <c r="G130" s="6"/>
      <c r="H130" s="6"/>
      <c r="I130" s="24"/>
    </row>
    <row r="131" spans="1:9">
      <c r="A131" s="23"/>
      <c r="B131" s="18" t="s">
        <v>321</v>
      </c>
      <c r="C131" s="6"/>
      <c r="D131" s="6"/>
      <c r="E131" s="6"/>
      <c r="F131" s="6"/>
      <c r="G131" s="6"/>
      <c r="H131" s="6"/>
      <c r="I131" s="24"/>
    </row>
    <row r="132" spans="1:9">
      <c r="A132" s="23"/>
      <c r="B132" s="18" t="s">
        <v>322</v>
      </c>
      <c r="C132" s="6"/>
      <c r="D132" s="6"/>
      <c r="E132" s="6"/>
      <c r="F132" s="6"/>
      <c r="G132" s="6"/>
      <c r="H132" s="6"/>
      <c r="I132" s="24"/>
    </row>
    <row r="133" spans="1:9" ht="15.75" thickBot="1">
      <c r="A133" s="25"/>
      <c r="B133" s="26" t="s">
        <v>323</v>
      </c>
      <c r="C133" s="27"/>
      <c r="D133" s="27"/>
      <c r="E133" s="27"/>
      <c r="F133" s="27"/>
      <c r="G133" s="27"/>
      <c r="H133" s="27"/>
      <c r="I133" s="28"/>
    </row>
  </sheetData>
  <pageMargins left="0.7" right="0.7" top="0.75" bottom="0.75" header="0.3" footer="0.3"/>
  <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144D3-79C4-4C36-986B-04F6F3376BC0}">
  <dimension ref="A20:J301"/>
  <sheetViews>
    <sheetView topLeftCell="A28" workbookViewId="0">
      <selection activeCell="E104" sqref="E104"/>
    </sheetView>
  </sheetViews>
  <sheetFormatPr defaultRowHeight="15"/>
  <cols>
    <col min="1" max="1" width="12" bestFit="1" customWidth="1"/>
    <col min="2" max="2" width="24.140625" bestFit="1" customWidth="1"/>
    <col min="3" max="3" width="16" bestFit="1" customWidth="1"/>
    <col min="4" max="4" width="25.7109375" bestFit="1" customWidth="1"/>
    <col min="5" max="5" width="15.5703125" bestFit="1" customWidth="1"/>
    <col min="8" max="8" width="13.140625" bestFit="1" customWidth="1"/>
    <col min="9" max="10" width="30.28515625" bestFit="1" customWidth="1"/>
  </cols>
  <sheetData>
    <row r="20" spans="1:9" ht="15.75" thickBot="1"/>
    <row r="21" spans="1:9" ht="15.75" thickBot="1">
      <c r="C21" s="15" t="s">
        <v>28</v>
      </c>
    </row>
    <row r="23" spans="1:9">
      <c r="A23" t="s">
        <v>324</v>
      </c>
      <c r="B23" t="s">
        <v>325</v>
      </c>
      <c r="C23" t="s">
        <v>326</v>
      </c>
      <c r="D23" t="s">
        <v>327</v>
      </c>
      <c r="E23" t="s">
        <v>328</v>
      </c>
      <c r="H23" s="13" t="s">
        <v>129</v>
      </c>
      <c r="I23" t="s">
        <v>329</v>
      </c>
    </row>
    <row r="24" spans="1:9">
      <c r="A24">
        <v>38</v>
      </c>
      <c r="B24">
        <v>141396.73000000001</v>
      </c>
      <c r="C24">
        <v>1265793.04</v>
      </c>
      <c r="D24">
        <v>11.17</v>
      </c>
      <c r="E24">
        <f>SUM($D$24:D24)</f>
        <v>11.17</v>
      </c>
      <c r="H24" s="14">
        <v>17</v>
      </c>
      <c r="I24">
        <v>32698.38</v>
      </c>
    </row>
    <row r="25" spans="1:9">
      <c r="A25">
        <v>29</v>
      </c>
      <c r="B25">
        <v>80368.67</v>
      </c>
      <c r="C25">
        <v>1265793.04</v>
      </c>
      <c r="D25">
        <v>6.35</v>
      </c>
      <c r="E25">
        <f>SUM($D$24:D25)</f>
        <v>17.52</v>
      </c>
      <c r="H25" s="14">
        <v>18</v>
      </c>
      <c r="I25">
        <v>29171.88</v>
      </c>
    </row>
    <row r="26" spans="1:9">
      <c r="A26">
        <v>59</v>
      </c>
      <c r="B26">
        <v>71155.7</v>
      </c>
      <c r="C26">
        <v>1265793.04</v>
      </c>
      <c r="D26">
        <v>5.62</v>
      </c>
      <c r="E26">
        <f>SUM($D$24:D26)</f>
        <v>23.14</v>
      </c>
      <c r="H26" s="14">
        <v>28</v>
      </c>
      <c r="I26">
        <v>25696.639999999999</v>
      </c>
    </row>
    <row r="27" spans="1:9">
      <c r="A27">
        <v>62</v>
      </c>
      <c r="B27">
        <v>47234.97</v>
      </c>
      <c r="C27">
        <v>1265793.04</v>
      </c>
      <c r="D27">
        <v>3.73</v>
      </c>
      <c r="E27">
        <f>SUM($D$24:D27)</f>
        <v>26.87</v>
      </c>
      <c r="H27" s="14">
        <v>29</v>
      </c>
      <c r="I27">
        <v>80368.67</v>
      </c>
    </row>
    <row r="28" spans="1:9">
      <c r="A28">
        <v>60</v>
      </c>
      <c r="B28">
        <v>46825.48</v>
      </c>
      <c r="C28">
        <v>1265793.04</v>
      </c>
      <c r="D28">
        <v>3.7</v>
      </c>
      <c r="E28">
        <f>SUM($D$24:D28)</f>
        <v>30.57</v>
      </c>
      <c r="H28" s="14">
        <v>38</v>
      </c>
      <c r="I28">
        <v>141396.73000000001</v>
      </c>
    </row>
    <row r="29" spans="1:9">
      <c r="A29">
        <v>56</v>
      </c>
      <c r="B29">
        <v>42593.06</v>
      </c>
      <c r="C29">
        <v>1265793.04</v>
      </c>
      <c r="D29">
        <v>3.36</v>
      </c>
      <c r="E29">
        <f>SUM($D$24:D29)</f>
        <v>33.93</v>
      </c>
      <c r="H29" s="14">
        <v>51</v>
      </c>
      <c r="I29">
        <v>41819.65</v>
      </c>
    </row>
    <row r="30" spans="1:9">
      <c r="A30">
        <v>51</v>
      </c>
      <c r="B30">
        <v>41819.65</v>
      </c>
      <c r="C30">
        <v>1265793.04</v>
      </c>
      <c r="D30">
        <v>3.3</v>
      </c>
      <c r="E30">
        <f>SUM($D$24:D30)</f>
        <v>37.229999999999997</v>
      </c>
      <c r="H30" s="14">
        <v>56</v>
      </c>
      <c r="I30">
        <v>42593.06</v>
      </c>
    </row>
    <row r="31" spans="1:9">
      <c r="A31">
        <v>17</v>
      </c>
      <c r="B31">
        <v>32698.38</v>
      </c>
      <c r="C31">
        <v>1265793.04</v>
      </c>
      <c r="D31">
        <v>2.58</v>
      </c>
      <c r="E31">
        <f>SUM($D$24:D31)</f>
        <v>39.809999999999995</v>
      </c>
      <c r="H31" s="14">
        <v>59</v>
      </c>
      <c r="I31">
        <v>71155.7</v>
      </c>
    </row>
    <row r="32" spans="1:9">
      <c r="A32">
        <v>18</v>
      </c>
      <c r="B32">
        <v>29171.88</v>
      </c>
      <c r="C32">
        <v>1265793.04</v>
      </c>
      <c r="D32">
        <v>2.2999999999999998</v>
      </c>
      <c r="E32">
        <f>SUM($D$24:D32)</f>
        <v>42.109999999999992</v>
      </c>
      <c r="H32" s="14">
        <v>60</v>
      </c>
      <c r="I32">
        <v>46825.48</v>
      </c>
    </row>
    <row r="33" spans="1:9">
      <c r="A33">
        <v>28</v>
      </c>
      <c r="B33">
        <v>25696.639999999999</v>
      </c>
      <c r="C33">
        <v>1265793.04</v>
      </c>
      <c r="D33">
        <v>2.0299999999999998</v>
      </c>
      <c r="E33">
        <f>SUM($D$24:D33)</f>
        <v>44.139999999999993</v>
      </c>
      <c r="H33" s="14">
        <v>62</v>
      </c>
      <c r="I33">
        <v>47234.97</v>
      </c>
    </row>
    <row r="34" spans="1:9">
      <c r="A34">
        <v>72</v>
      </c>
      <c r="B34">
        <v>24900.13</v>
      </c>
      <c r="C34">
        <v>1265793.04</v>
      </c>
      <c r="D34">
        <v>1.97</v>
      </c>
      <c r="E34">
        <f>SUM($D$24:D34)</f>
        <v>46.109999999999992</v>
      </c>
      <c r="H34" s="14" t="s">
        <v>130</v>
      </c>
      <c r="I34">
        <v>558961.16</v>
      </c>
    </row>
    <row r="35" spans="1:9">
      <c r="A35">
        <v>43</v>
      </c>
      <c r="B35">
        <v>23526.7</v>
      </c>
      <c r="C35">
        <v>1265793.04</v>
      </c>
      <c r="D35">
        <v>1.86</v>
      </c>
      <c r="E35">
        <f>SUM($D$24:D35)</f>
        <v>47.969999999999992</v>
      </c>
    </row>
    <row r="36" spans="1:9">
      <c r="A36">
        <v>20</v>
      </c>
      <c r="B36">
        <v>22563.360000000001</v>
      </c>
      <c r="C36">
        <v>1265793.04</v>
      </c>
      <c r="D36">
        <v>1.78</v>
      </c>
      <c r="E36">
        <f>SUM($D$24:D36)</f>
        <v>49.749999999999993</v>
      </c>
    </row>
    <row r="37" spans="1:9">
      <c r="A37">
        <v>7</v>
      </c>
      <c r="B37">
        <v>22044.3</v>
      </c>
      <c r="C37">
        <v>1265793.04</v>
      </c>
      <c r="D37">
        <v>1.74</v>
      </c>
      <c r="E37">
        <f>SUM($D$24:D37)</f>
        <v>51.489999999999995</v>
      </c>
    </row>
    <row r="38" spans="1:9">
      <c r="A38">
        <v>69</v>
      </c>
      <c r="B38">
        <v>21942.36</v>
      </c>
      <c r="C38">
        <v>1265793.04</v>
      </c>
      <c r="D38">
        <v>1.73</v>
      </c>
      <c r="E38">
        <f>SUM($D$24:D38)</f>
        <v>53.219999999999992</v>
      </c>
    </row>
    <row r="39" spans="1:9">
      <c r="A39">
        <v>64</v>
      </c>
      <c r="B39">
        <v>21957.97</v>
      </c>
      <c r="C39">
        <v>1265793.04</v>
      </c>
      <c r="D39">
        <v>1.73</v>
      </c>
      <c r="E39">
        <f>SUM($D$24:D39)</f>
        <v>54.949999999999989</v>
      </c>
    </row>
    <row r="40" spans="1:9">
      <c r="A40">
        <v>10</v>
      </c>
      <c r="B40">
        <v>20867.34</v>
      </c>
      <c r="C40">
        <v>1265793.04</v>
      </c>
      <c r="D40">
        <v>1.65</v>
      </c>
      <c r="E40">
        <f>SUM($D$24:D40)</f>
        <v>56.599999999999987</v>
      </c>
    </row>
    <row r="41" spans="1:9">
      <c r="A41">
        <v>53</v>
      </c>
      <c r="B41">
        <v>20574.169999999998</v>
      </c>
      <c r="C41">
        <v>1265793.04</v>
      </c>
      <c r="D41">
        <v>1.63</v>
      </c>
      <c r="E41">
        <f>SUM($D$24:D41)</f>
        <v>58.22999999999999</v>
      </c>
    </row>
    <row r="42" spans="1:9">
      <c r="A42">
        <v>26</v>
      </c>
      <c r="B42">
        <v>19849.14</v>
      </c>
      <c r="C42">
        <v>1265793.04</v>
      </c>
      <c r="D42">
        <v>1.57</v>
      </c>
      <c r="E42">
        <f>SUM($D$24:D42)</f>
        <v>59.79999999999999</v>
      </c>
    </row>
    <row r="43" spans="1:9">
      <c r="A43">
        <v>71</v>
      </c>
      <c r="B43">
        <v>19551.02</v>
      </c>
      <c r="C43">
        <v>1265793.04</v>
      </c>
      <c r="D43">
        <v>1.54</v>
      </c>
      <c r="E43">
        <f>SUM($D$24:D43)</f>
        <v>61.339999999999989</v>
      </c>
    </row>
    <row r="44" spans="1:9">
      <c r="A44">
        <v>40</v>
      </c>
      <c r="B44">
        <v>17910.63</v>
      </c>
      <c r="C44">
        <v>1265793.04</v>
      </c>
      <c r="D44">
        <v>1.41</v>
      </c>
      <c r="E44">
        <f>SUM($D$24:D44)</f>
        <v>62.749999999999986</v>
      </c>
    </row>
    <row r="45" spans="1:9">
      <c r="A45">
        <v>55</v>
      </c>
      <c r="B45">
        <v>17426.400000000001</v>
      </c>
      <c r="C45">
        <v>1265793.04</v>
      </c>
      <c r="D45">
        <v>1.38</v>
      </c>
      <c r="E45">
        <f>SUM($D$24:D45)</f>
        <v>64.129999999999981</v>
      </c>
    </row>
    <row r="46" spans="1:9">
      <c r="A46">
        <v>16</v>
      </c>
      <c r="B46">
        <v>17215.78</v>
      </c>
      <c r="C46">
        <v>1265793.04</v>
      </c>
      <c r="D46">
        <v>1.36</v>
      </c>
      <c r="E46">
        <f>SUM($D$24:D46)</f>
        <v>65.489999999999981</v>
      </c>
    </row>
    <row r="47" spans="1:9">
      <c r="A47">
        <v>63</v>
      </c>
      <c r="B47">
        <v>16701.099999999999</v>
      </c>
      <c r="C47">
        <v>1265793.04</v>
      </c>
      <c r="D47">
        <v>1.32</v>
      </c>
      <c r="E47">
        <f>SUM($D$24:D47)</f>
        <v>66.809999999999974</v>
      </c>
    </row>
    <row r="48" spans="1:9">
      <c r="A48">
        <v>2</v>
      </c>
      <c r="B48">
        <v>16355.96</v>
      </c>
      <c r="C48">
        <v>1265793.04</v>
      </c>
      <c r="D48">
        <v>1.29</v>
      </c>
      <c r="E48">
        <f>SUM($D$24:D48)</f>
        <v>68.09999999999998</v>
      </c>
    </row>
    <row r="49" spans="1:9">
      <c r="A49">
        <v>76</v>
      </c>
      <c r="B49">
        <v>15760.44</v>
      </c>
      <c r="C49">
        <v>1265793.04</v>
      </c>
      <c r="D49">
        <v>1.25</v>
      </c>
      <c r="E49">
        <f>SUM($D$24:D49)</f>
        <v>69.34999999999998</v>
      </c>
    </row>
    <row r="50" spans="1:9">
      <c r="A50">
        <v>27</v>
      </c>
      <c r="B50">
        <v>15099.88</v>
      </c>
      <c r="C50">
        <v>1265793.04</v>
      </c>
      <c r="D50">
        <v>1.19</v>
      </c>
      <c r="E50">
        <f>SUM($D$24:D50)</f>
        <v>70.539999999999978</v>
      </c>
    </row>
    <row r="51" spans="1:9">
      <c r="A51">
        <v>31</v>
      </c>
      <c r="B51">
        <v>14920.88</v>
      </c>
      <c r="C51">
        <v>1265793.04</v>
      </c>
      <c r="D51">
        <v>1.18</v>
      </c>
      <c r="E51">
        <f>SUM($D$24:D51)</f>
        <v>71.719999999999985</v>
      </c>
    </row>
    <row r="52" spans="1:9">
      <c r="A52">
        <v>61</v>
      </c>
      <c r="B52">
        <v>14352.6</v>
      </c>
      <c r="C52">
        <v>1265793.04</v>
      </c>
      <c r="D52">
        <v>1.1299999999999999</v>
      </c>
      <c r="E52">
        <f>SUM($D$24:D52)</f>
        <v>72.84999999999998</v>
      </c>
    </row>
    <row r="53" spans="1:9">
      <c r="A53">
        <v>65</v>
      </c>
      <c r="B53">
        <v>13869.89</v>
      </c>
      <c r="C53">
        <v>1265793.04</v>
      </c>
      <c r="D53">
        <v>1.1000000000000001</v>
      </c>
      <c r="E53">
        <f>SUM($D$24:D53)</f>
        <v>73.949999999999974</v>
      </c>
    </row>
    <row r="54" spans="1:9">
      <c r="A54">
        <v>35</v>
      </c>
      <c r="B54">
        <v>13644</v>
      </c>
      <c r="C54">
        <v>1265793.04</v>
      </c>
      <c r="D54">
        <v>1.08</v>
      </c>
      <c r="E54">
        <f>SUM($D$24:D54)</f>
        <v>75.029999999999973</v>
      </c>
    </row>
    <row r="55" spans="1:9">
      <c r="A55">
        <v>36</v>
      </c>
      <c r="B55">
        <v>13458.46</v>
      </c>
      <c r="C55">
        <v>1265793.04</v>
      </c>
      <c r="D55">
        <v>1.06</v>
      </c>
      <c r="E55">
        <f>SUM($D$24:D55)</f>
        <v>76.089999999999975</v>
      </c>
    </row>
    <row r="56" spans="1:9">
      <c r="A56">
        <v>30</v>
      </c>
      <c r="B56">
        <v>13424.2</v>
      </c>
      <c r="C56">
        <v>1265793.04</v>
      </c>
      <c r="D56">
        <v>1.06</v>
      </c>
      <c r="E56">
        <f>SUM($D$24:D56)</f>
        <v>77.149999999999977</v>
      </c>
    </row>
    <row r="57" spans="1:9">
      <c r="A57">
        <v>11</v>
      </c>
      <c r="B57">
        <v>12901.77</v>
      </c>
      <c r="C57">
        <v>1265793.04</v>
      </c>
      <c r="D57">
        <v>1.02</v>
      </c>
      <c r="E57">
        <f>SUM($D$24:D57)</f>
        <v>78.169999999999973</v>
      </c>
    </row>
    <row r="58" spans="1:9">
      <c r="A58">
        <v>1</v>
      </c>
      <c r="B58">
        <v>12788.1</v>
      </c>
      <c r="C58">
        <v>1265793.04</v>
      </c>
      <c r="D58">
        <v>1.01</v>
      </c>
      <c r="E58">
        <f>SUM($D$24:D58)</f>
        <v>79.179999999999978</v>
      </c>
      <c r="H58" s="13" t="s">
        <v>129</v>
      </c>
      <c r="I58" t="s">
        <v>330</v>
      </c>
    </row>
    <row r="59" spans="1:9">
      <c r="A59">
        <v>8</v>
      </c>
      <c r="B59">
        <v>12772</v>
      </c>
      <c r="C59">
        <v>1265793.04</v>
      </c>
      <c r="D59">
        <v>1.01</v>
      </c>
      <c r="E59">
        <f>SUM($D$24:D59)</f>
        <v>80.189999999999984</v>
      </c>
      <c r="H59" s="14">
        <v>17</v>
      </c>
      <c r="I59">
        <v>2.58</v>
      </c>
    </row>
    <row r="60" spans="1:9">
      <c r="A60">
        <v>39</v>
      </c>
      <c r="B60">
        <v>12294.54</v>
      </c>
      <c r="C60">
        <v>1265793.04</v>
      </c>
      <c r="D60">
        <v>0.97</v>
      </c>
      <c r="E60">
        <f>SUM($D$24:D60)</f>
        <v>81.159999999999982</v>
      </c>
      <c r="H60" s="14">
        <v>18</v>
      </c>
      <c r="I60">
        <v>2.2999999999999998</v>
      </c>
    </row>
    <row r="61" spans="1:9">
      <c r="A61">
        <v>12</v>
      </c>
      <c r="B61">
        <v>12257.66</v>
      </c>
      <c r="C61">
        <v>1265793.04</v>
      </c>
      <c r="D61">
        <v>0.97</v>
      </c>
      <c r="E61">
        <f>SUM($D$24:D61)</f>
        <v>82.129999999999981</v>
      </c>
      <c r="H61" s="14">
        <v>28</v>
      </c>
      <c r="I61">
        <v>2.0299999999999998</v>
      </c>
    </row>
    <row r="62" spans="1:9">
      <c r="A62">
        <v>70</v>
      </c>
      <c r="B62">
        <v>10672.65</v>
      </c>
      <c r="C62">
        <v>1265793.04</v>
      </c>
      <c r="D62">
        <v>0.84</v>
      </c>
      <c r="E62">
        <f>SUM($D$24:D62)</f>
        <v>82.969999999999985</v>
      </c>
      <c r="H62" s="14">
        <v>29</v>
      </c>
      <c r="I62">
        <v>6.35</v>
      </c>
    </row>
    <row r="63" spans="1:9">
      <c r="A63">
        <v>44</v>
      </c>
      <c r="B63">
        <v>9915.9500000000007</v>
      </c>
      <c r="C63">
        <v>1265793.04</v>
      </c>
      <c r="D63">
        <v>0.78</v>
      </c>
      <c r="E63">
        <f>SUM($D$24:D63)</f>
        <v>83.749999999999986</v>
      </c>
      <c r="H63" s="14">
        <v>38</v>
      </c>
      <c r="I63">
        <v>11.17</v>
      </c>
    </row>
    <row r="64" spans="1:9">
      <c r="A64">
        <v>49</v>
      </c>
      <c r="B64">
        <v>9244.6</v>
      </c>
      <c r="C64">
        <v>1265793.04</v>
      </c>
      <c r="D64">
        <v>0.73</v>
      </c>
      <c r="E64">
        <f>SUM($D$24:D64)</f>
        <v>84.47999999999999</v>
      </c>
      <c r="H64" s="14">
        <v>51</v>
      </c>
      <c r="I64">
        <v>3.3</v>
      </c>
    </row>
    <row r="65" spans="1:9">
      <c r="A65">
        <v>21</v>
      </c>
      <c r="B65">
        <v>9104</v>
      </c>
      <c r="C65">
        <v>1265793.04</v>
      </c>
      <c r="D65">
        <v>0.72</v>
      </c>
      <c r="E65">
        <f>SUM($D$24:D65)</f>
        <v>85.199999999999989</v>
      </c>
      <c r="H65" s="14">
        <v>56</v>
      </c>
      <c r="I65">
        <v>3.36</v>
      </c>
    </row>
    <row r="66" spans="1:9">
      <c r="A66">
        <v>77</v>
      </c>
      <c r="B66">
        <v>9171.6299999999992</v>
      </c>
      <c r="C66">
        <v>1265793.04</v>
      </c>
      <c r="D66">
        <v>0.72</v>
      </c>
      <c r="E66">
        <f>SUM($D$24:D66)</f>
        <v>85.919999999999987</v>
      </c>
      <c r="H66" s="14">
        <v>59</v>
      </c>
      <c r="I66">
        <v>5.62</v>
      </c>
    </row>
    <row r="67" spans="1:9">
      <c r="A67">
        <v>41</v>
      </c>
      <c r="B67">
        <v>8680.35</v>
      </c>
      <c r="C67">
        <v>1265793.04</v>
      </c>
      <c r="D67">
        <v>0.69</v>
      </c>
      <c r="E67">
        <f>SUM($D$24:D67)</f>
        <v>86.609999999999985</v>
      </c>
      <c r="H67" s="14">
        <v>60</v>
      </c>
      <c r="I67">
        <v>3.7</v>
      </c>
    </row>
    <row r="68" spans="1:9">
      <c r="A68">
        <v>68</v>
      </c>
      <c r="B68">
        <v>8714</v>
      </c>
      <c r="C68">
        <v>1265793.04</v>
      </c>
      <c r="D68">
        <v>0.69</v>
      </c>
      <c r="E68">
        <f>SUM($D$24:D68)</f>
        <v>87.299999999999983</v>
      </c>
      <c r="H68" s="14">
        <v>62</v>
      </c>
      <c r="I68">
        <v>3.73</v>
      </c>
    </row>
    <row r="69" spans="1:9">
      <c r="A69">
        <v>42</v>
      </c>
      <c r="B69">
        <v>8575</v>
      </c>
      <c r="C69">
        <v>1265793.04</v>
      </c>
      <c r="D69">
        <v>0.68</v>
      </c>
      <c r="E69">
        <f>SUM($D$24:D69)</f>
        <v>87.97999999999999</v>
      </c>
      <c r="H69" s="14" t="s">
        <v>130</v>
      </c>
      <c r="I69">
        <v>44.14</v>
      </c>
    </row>
    <row r="70" spans="1:9">
      <c r="A70">
        <v>4</v>
      </c>
      <c r="B70">
        <v>8567.9</v>
      </c>
      <c r="C70">
        <v>1265793.04</v>
      </c>
      <c r="D70">
        <v>0.68</v>
      </c>
      <c r="E70">
        <f>SUM($D$24:D70)</f>
        <v>88.66</v>
      </c>
    </row>
    <row r="71" spans="1:9">
      <c r="A71">
        <v>32</v>
      </c>
      <c r="B71">
        <v>8404.16</v>
      </c>
      <c r="C71">
        <v>1265793.04</v>
      </c>
      <c r="D71">
        <v>0.66</v>
      </c>
      <c r="E71">
        <f>SUM($D$24:D71)</f>
        <v>89.32</v>
      </c>
    </row>
    <row r="72" spans="1:9">
      <c r="A72">
        <v>75</v>
      </c>
      <c r="B72">
        <v>8177.49</v>
      </c>
      <c r="C72">
        <v>1265793.04</v>
      </c>
      <c r="D72">
        <v>0.65</v>
      </c>
      <c r="E72">
        <f>SUM($D$24:D72)</f>
        <v>89.97</v>
      </c>
    </row>
    <row r="73" spans="1:9">
      <c r="A73">
        <v>14</v>
      </c>
      <c r="B73">
        <v>7991.49</v>
      </c>
      <c r="C73">
        <v>1265793.04</v>
      </c>
      <c r="D73">
        <v>0.63</v>
      </c>
      <c r="E73">
        <f>SUM($D$24:D73)</f>
        <v>90.6</v>
      </c>
    </row>
    <row r="74" spans="1:9">
      <c r="A74">
        <v>57</v>
      </c>
      <c r="B74">
        <v>7661.55</v>
      </c>
      <c r="C74">
        <v>1265793.04</v>
      </c>
      <c r="D74">
        <v>0.61</v>
      </c>
      <c r="E74">
        <f>SUM($D$24:D74)</f>
        <v>91.21</v>
      </c>
    </row>
    <row r="75" spans="1:9">
      <c r="A75">
        <v>9</v>
      </c>
      <c r="B75">
        <v>7226.5</v>
      </c>
      <c r="C75">
        <v>1265793.04</v>
      </c>
      <c r="D75">
        <v>0.56999999999999995</v>
      </c>
      <c r="E75">
        <f>SUM($D$24:D75)</f>
        <v>91.779999999999987</v>
      </c>
    </row>
    <row r="76" spans="1:9">
      <c r="A76">
        <v>22</v>
      </c>
      <c r="B76">
        <v>7122.36</v>
      </c>
      <c r="C76">
        <v>1265793.04</v>
      </c>
      <c r="D76">
        <v>0.56000000000000005</v>
      </c>
      <c r="E76">
        <f>SUM($D$24:D76)</f>
        <v>92.339999999999989</v>
      </c>
    </row>
    <row r="77" spans="1:9">
      <c r="A77">
        <v>6</v>
      </c>
      <c r="B77">
        <v>7137</v>
      </c>
      <c r="C77">
        <v>1265793.04</v>
      </c>
      <c r="D77">
        <v>0.56000000000000005</v>
      </c>
      <c r="E77">
        <f>SUM($D$24:D77)</f>
        <v>92.899999999999991</v>
      </c>
    </row>
    <row r="78" spans="1:9">
      <c r="A78">
        <v>34</v>
      </c>
      <c r="B78">
        <v>6350.4</v>
      </c>
      <c r="C78">
        <v>1265793.04</v>
      </c>
      <c r="D78">
        <v>0.5</v>
      </c>
      <c r="E78">
        <f>SUM($D$24:D78)</f>
        <v>93.399999999999991</v>
      </c>
    </row>
    <row r="79" spans="1:9">
      <c r="A79">
        <v>46</v>
      </c>
      <c r="B79">
        <v>5883</v>
      </c>
      <c r="C79">
        <v>1265793.04</v>
      </c>
      <c r="D79">
        <v>0.46</v>
      </c>
      <c r="E79">
        <f>SUM($D$24:D79)</f>
        <v>93.859999999999985</v>
      </c>
    </row>
    <row r="80" spans="1:9">
      <c r="A80">
        <v>19</v>
      </c>
      <c r="B80">
        <v>5862.62</v>
      </c>
      <c r="C80">
        <v>1265793.04</v>
      </c>
      <c r="D80">
        <v>0.46</v>
      </c>
      <c r="E80">
        <f>SUM($D$24:D80)</f>
        <v>94.319999999999979</v>
      </c>
    </row>
    <row r="81" spans="1:5">
      <c r="A81">
        <v>58</v>
      </c>
      <c r="B81">
        <v>5881.67</v>
      </c>
      <c r="C81">
        <v>1265793.04</v>
      </c>
      <c r="D81">
        <v>0.46</v>
      </c>
      <c r="E81">
        <f>SUM($D$24:D81)</f>
        <v>94.779999999999973</v>
      </c>
    </row>
    <row r="82" spans="1:5">
      <c r="A82">
        <v>5</v>
      </c>
      <c r="B82">
        <v>5347.2</v>
      </c>
      <c r="C82">
        <v>1265793.04</v>
      </c>
      <c r="D82">
        <v>0.42</v>
      </c>
      <c r="E82">
        <f>SUM($D$24:D82)</f>
        <v>95.199999999999974</v>
      </c>
    </row>
    <row r="83" spans="1:5">
      <c r="A83">
        <v>13</v>
      </c>
      <c r="B83">
        <v>4960.4399999999996</v>
      </c>
      <c r="C83">
        <v>1265793.04</v>
      </c>
      <c r="D83">
        <v>0.39</v>
      </c>
      <c r="E83">
        <f>SUM($D$24:D83)</f>
        <v>95.589999999999975</v>
      </c>
    </row>
    <row r="84" spans="1:5">
      <c r="A84">
        <v>54</v>
      </c>
      <c r="B84">
        <v>4728.24</v>
      </c>
      <c r="C84">
        <v>1265793.04</v>
      </c>
      <c r="D84">
        <v>0.37</v>
      </c>
      <c r="E84">
        <f>SUM($D$24:D84)</f>
        <v>95.95999999999998</v>
      </c>
    </row>
    <row r="85" spans="1:5">
      <c r="A85">
        <v>24</v>
      </c>
      <c r="B85">
        <v>4504.3599999999997</v>
      </c>
      <c r="C85">
        <v>1265793.04</v>
      </c>
      <c r="D85">
        <v>0.36</v>
      </c>
      <c r="E85">
        <f>SUM($D$24:D85)</f>
        <v>96.319999999999979</v>
      </c>
    </row>
    <row r="86" spans="1:5">
      <c r="A86">
        <v>23</v>
      </c>
      <c r="B86">
        <v>4601.7</v>
      </c>
      <c r="C86">
        <v>1265793.04</v>
      </c>
      <c r="D86">
        <v>0.36</v>
      </c>
      <c r="E86">
        <f>SUM($D$24:D86)</f>
        <v>96.679999999999978</v>
      </c>
    </row>
    <row r="87" spans="1:5">
      <c r="A87">
        <v>45</v>
      </c>
      <c r="B87">
        <v>4338.18</v>
      </c>
      <c r="C87">
        <v>1265793.04</v>
      </c>
      <c r="D87">
        <v>0.34</v>
      </c>
      <c r="E87">
        <f>SUM($D$24:D87)</f>
        <v>97.019999999999982</v>
      </c>
    </row>
    <row r="88" spans="1:5">
      <c r="A88">
        <v>73</v>
      </c>
      <c r="B88">
        <v>3997.2</v>
      </c>
      <c r="C88">
        <v>1265793.04</v>
      </c>
      <c r="D88">
        <v>0.32</v>
      </c>
      <c r="E88">
        <f>SUM($D$24:D88)</f>
        <v>97.339999999999975</v>
      </c>
    </row>
    <row r="89" spans="1:5">
      <c r="A89">
        <v>47</v>
      </c>
      <c r="B89">
        <v>3958.08</v>
      </c>
      <c r="C89">
        <v>1265793.04</v>
      </c>
      <c r="D89">
        <v>0.31</v>
      </c>
      <c r="E89">
        <f>SUM($D$24:D89)</f>
        <v>97.649999999999977</v>
      </c>
    </row>
    <row r="90" spans="1:5">
      <c r="A90">
        <v>25</v>
      </c>
      <c r="B90">
        <v>3704.4</v>
      </c>
      <c r="C90">
        <v>1265793.04</v>
      </c>
      <c r="D90">
        <v>0.28999999999999998</v>
      </c>
      <c r="E90">
        <f>SUM($D$24:D90)</f>
        <v>97.939999999999984</v>
      </c>
    </row>
    <row r="91" spans="1:5">
      <c r="A91">
        <v>66</v>
      </c>
      <c r="B91">
        <v>3383</v>
      </c>
      <c r="C91">
        <v>1265793.04</v>
      </c>
      <c r="D91">
        <v>0.27</v>
      </c>
      <c r="E91">
        <f>SUM($D$24:D91)</f>
        <v>98.20999999999998</v>
      </c>
    </row>
    <row r="92" spans="1:5">
      <c r="A92">
        <v>50</v>
      </c>
      <c r="B92">
        <v>3437.69</v>
      </c>
      <c r="C92">
        <v>1265793.04</v>
      </c>
      <c r="D92">
        <v>0.27</v>
      </c>
      <c r="E92">
        <f>SUM($D$24:D92)</f>
        <v>98.479999999999976</v>
      </c>
    </row>
    <row r="93" spans="1:5">
      <c r="A93">
        <v>52</v>
      </c>
      <c r="B93">
        <v>3232.95</v>
      </c>
      <c r="C93">
        <v>1265793.04</v>
      </c>
      <c r="D93">
        <v>0.26</v>
      </c>
      <c r="E93">
        <f>SUM($D$24:D93)</f>
        <v>98.739999999999981</v>
      </c>
    </row>
    <row r="94" spans="1:5">
      <c r="A94">
        <v>3</v>
      </c>
      <c r="B94">
        <v>3044</v>
      </c>
      <c r="C94">
        <v>1265793.04</v>
      </c>
      <c r="D94">
        <v>0.24</v>
      </c>
      <c r="E94">
        <f>SUM($D$24:D94)</f>
        <v>98.979999999999976</v>
      </c>
    </row>
    <row r="95" spans="1:5">
      <c r="A95">
        <v>37</v>
      </c>
      <c r="B95">
        <v>2688.4</v>
      </c>
      <c r="C95">
        <v>1265793.04</v>
      </c>
      <c r="D95">
        <v>0.21</v>
      </c>
      <c r="E95">
        <f>SUM($D$24:D95)</f>
        <v>99.189999999999969</v>
      </c>
    </row>
    <row r="96" spans="1:5">
      <c r="A96">
        <v>74</v>
      </c>
      <c r="B96">
        <v>2432.5</v>
      </c>
      <c r="C96">
        <v>1265793.04</v>
      </c>
      <c r="D96">
        <v>0.19</v>
      </c>
      <c r="E96">
        <f>SUM($D$24:D96)</f>
        <v>99.379999999999967</v>
      </c>
    </row>
    <row r="97" spans="1:10">
      <c r="A97">
        <v>67</v>
      </c>
      <c r="B97">
        <v>2396.8000000000002</v>
      </c>
      <c r="C97">
        <v>1265793.04</v>
      </c>
      <c r="D97">
        <v>0.19</v>
      </c>
      <c r="E97">
        <f>SUM($D$24:D97)</f>
        <v>99.569999999999965</v>
      </c>
    </row>
    <row r="98" spans="1:10">
      <c r="A98">
        <v>15</v>
      </c>
      <c r="B98">
        <v>1784.82</v>
      </c>
      <c r="C98">
        <v>1265793.04</v>
      </c>
      <c r="D98">
        <v>0.14000000000000001</v>
      </c>
      <c r="E98">
        <f>SUM($D$24:D98)</f>
        <v>99.709999999999965</v>
      </c>
    </row>
    <row r="99" spans="1:10">
      <c r="A99">
        <v>33</v>
      </c>
      <c r="B99">
        <v>1648.12</v>
      </c>
      <c r="C99">
        <v>1265793.04</v>
      </c>
      <c r="D99">
        <v>0.13</v>
      </c>
      <c r="E99">
        <f>SUM($D$24:D99)</f>
        <v>99.839999999999961</v>
      </c>
    </row>
    <row r="100" spans="1:10">
      <c r="A100">
        <v>48</v>
      </c>
      <c r="B100">
        <v>1368.71</v>
      </c>
      <c r="C100">
        <v>1265793.04</v>
      </c>
      <c r="D100">
        <v>0.11</v>
      </c>
      <c r="E100">
        <f>SUM($D$24:D100)</f>
        <v>99.94999999999996</v>
      </c>
    </row>
    <row r="103" spans="1:10" ht="15.75" thickBot="1"/>
    <row r="104" spans="1:10" ht="15.75" thickBot="1">
      <c r="E104" s="19" t="s">
        <v>29</v>
      </c>
    </row>
    <row r="105" spans="1:10">
      <c r="A105" s="20">
        <v>1</v>
      </c>
      <c r="B105" s="21" t="s">
        <v>335</v>
      </c>
      <c r="C105" s="29"/>
      <c r="D105" s="29"/>
      <c r="E105" s="29"/>
      <c r="F105" s="29"/>
      <c r="G105" s="29"/>
      <c r="H105" s="3"/>
      <c r="I105" s="3"/>
      <c r="J105" s="4"/>
    </row>
    <row r="106" spans="1:10">
      <c r="A106" s="23">
        <v>2</v>
      </c>
      <c r="B106" s="6" t="s">
        <v>334</v>
      </c>
      <c r="C106" s="31"/>
      <c r="D106" s="31"/>
      <c r="E106" s="31"/>
      <c r="F106" s="31"/>
      <c r="G106" s="31"/>
      <c r="H106" s="7"/>
      <c r="I106" s="7"/>
      <c r="J106" s="8"/>
    </row>
    <row r="107" spans="1:10">
      <c r="A107" s="23">
        <v>3</v>
      </c>
      <c r="B107" s="6" t="s">
        <v>331</v>
      </c>
      <c r="C107" s="31"/>
      <c r="D107" s="31"/>
      <c r="E107" s="31"/>
      <c r="F107" s="31"/>
      <c r="G107" s="31"/>
      <c r="H107" s="7"/>
      <c r="I107" s="7"/>
      <c r="J107" s="8"/>
    </row>
    <row r="108" spans="1:10">
      <c r="A108" s="23">
        <v>4</v>
      </c>
      <c r="B108" s="6" t="s">
        <v>332</v>
      </c>
      <c r="C108" s="31"/>
      <c r="D108" s="31"/>
      <c r="E108" s="31"/>
      <c r="F108" s="31"/>
      <c r="G108" s="31"/>
      <c r="H108" s="7"/>
      <c r="I108" s="7"/>
      <c r="J108" s="8"/>
    </row>
    <row r="109" spans="1:10">
      <c r="A109" s="23">
        <v>5</v>
      </c>
      <c r="B109" s="6" t="s">
        <v>333</v>
      </c>
      <c r="C109" s="31"/>
      <c r="D109" s="31"/>
      <c r="E109" s="31"/>
      <c r="F109" s="31"/>
      <c r="G109" s="31"/>
      <c r="H109" s="7"/>
      <c r="I109" s="7"/>
      <c r="J109" s="8"/>
    </row>
    <row r="110" spans="1:10" ht="15.75" thickBot="1">
      <c r="A110" s="33"/>
      <c r="B110" s="34"/>
      <c r="C110" s="34"/>
      <c r="D110" s="34"/>
      <c r="E110" s="34"/>
      <c r="F110" s="34"/>
      <c r="G110" s="34"/>
      <c r="H110" s="11"/>
      <c r="I110" s="11"/>
      <c r="J110" s="12"/>
    </row>
    <row r="113" spans="3:9" ht="15.75" thickBot="1"/>
    <row r="114" spans="3:9" ht="16.5" thickBot="1">
      <c r="C114" s="36" t="s">
        <v>336</v>
      </c>
      <c r="D114" s="37"/>
      <c r="E114" s="37"/>
      <c r="F114" s="37"/>
      <c r="G114" s="37"/>
      <c r="H114" s="37"/>
      <c r="I114" s="38"/>
    </row>
    <row r="137" spans="2:5">
      <c r="B137" s="39" t="s">
        <v>34</v>
      </c>
      <c r="C137" s="39" t="s">
        <v>337</v>
      </c>
      <c r="D137" s="39" t="s">
        <v>338</v>
      </c>
      <c r="E137" s="39" t="s">
        <v>339</v>
      </c>
    </row>
    <row r="138" spans="2:5">
      <c r="B138" s="40" t="s">
        <v>47</v>
      </c>
      <c r="C138" s="40" t="s">
        <v>152</v>
      </c>
      <c r="D138" s="40">
        <v>48</v>
      </c>
      <c r="E138" s="40">
        <v>53234.57</v>
      </c>
    </row>
    <row r="139" spans="2:5">
      <c r="B139" s="40" t="s">
        <v>43</v>
      </c>
      <c r="C139" s="40" t="s">
        <v>152</v>
      </c>
      <c r="D139" s="40">
        <v>46</v>
      </c>
      <c r="E139" s="40">
        <v>50683.98</v>
      </c>
    </row>
    <row r="140" spans="2:5">
      <c r="B140" s="40" t="s">
        <v>47</v>
      </c>
      <c r="C140" s="40" t="s">
        <v>149</v>
      </c>
      <c r="D140" s="40">
        <v>42</v>
      </c>
      <c r="E140" s="40">
        <v>40492.65</v>
      </c>
    </row>
    <row r="141" spans="2:5">
      <c r="B141" s="40" t="s">
        <v>43</v>
      </c>
      <c r="C141" s="40" t="s">
        <v>178</v>
      </c>
      <c r="D141" s="40">
        <v>49</v>
      </c>
      <c r="E141" s="40">
        <v>34742.07</v>
      </c>
    </row>
    <row r="142" spans="2:5">
      <c r="B142" s="40" t="s">
        <v>40</v>
      </c>
      <c r="C142" s="40" t="s">
        <v>152</v>
      </c>
      <c r="D142" s="40">
        <v>34</v>
      </c>
      <c r="E142" s="40">
        <v>34529.839999999997</v>
      </c>
    </row>
    <row r="143" spans="2:5">
      <c r="B143" s="40" t="s">
        <v>43</v>
      </c>
      <c r="C143" s="40" t="s">
        <v>155</v>
      </c>
      <c r="D143" s="40">
        <v>30</v>
      </c>
      <c r="E143" s="40">
        <v>32489.38</v>
      </c>
    </row>
    <row r="144" spans="2:5">
      <c r="B144" s="40" t="s">
        <v>47</v>
      </c>
      <c r="C144" s="40" t="s">
        <v>178</v>
      </c>
      <c r="D144" s="40">
        <v>40</v>
      </c>
      <c r="E144" s="40">
        <v>31784.13</v>
      </c>
    </row>
    <row r="145" spans="2:5">
      <c r="B145" s="40" t="s">
        <v>43</v>
      </c>
      <c r="C145" s="40" t="s">
        <v>149</v>
      </c>
      <c r="D145" s="40">
        <v>39</v>
      </c>
      <c r="E145" s="40">
        <v>30344.92</v>
      </c>
    </row>
    <row r="146" spans="2:5">
      <c r="B146" s="40" t="s">
        <v>45</v>
      </c>
      <c r="C146" s="40" t="s">
        <v>152</v>
      </c>
      <c r="D146" s="40">
        <v>17</v>
      </c>
      <c r="E146" s="40">
        <v>21518.3</v>
      </c>
    </row>
    <row r="147" spans="2:5">
      <c r="B147" s="40" t="s">
        <v>43</v>
      </c>
      <c r="C147" s="40" t="s">
        <v>157</v>
      </c>
      <c r="D147" s="40">
        <v>37</v>
      </c>
      <c r="E147" s="40">
        <v>21472.47</v>
      </c>
    </row>
    <row r="148" spans="2:5">
      <c r="B148" s="40" t="s">
        <v>47</v>
      </c>
      <c r="C148" s="40" t="s">
        <v>157</v>
      </c>
      <c r="D148" s="40">
        <v>39</v>
      </c>
      <c r="E148" s="40">
        <v>21020.97</v>
      </c>
    </row>
    <row r="149" spans="2:5">
      <c r="B149" s="40" t="s">
        <v>45</v>
      </c>
      <c r="C149" s="40" t="s">
        <v>149</v>
      </c>
      <c r="D149" s="40">
        <v>20</v>
      </c>
      <c r="E149" s="40">
        <v>20965.240000000002</v>
      </c>
    </row>
    <row r="150" spans="2:5">
      <c r="B150" s="40" t="s">
        <v>54</v>
      </c>
      <c r="C150" s="40" t="s">
        <v>155</v>
      </c>
      <c r="D150" s="40">
        <v>5</v>
      </c>
      <c r="E150" s="40">
        <v>20914.23</v>
      </c>
    </row>
    <row r="151" spans="2:5">
      <c r="B151" s="40" t="s">
        <v>47</v>
      </c>
      <c r="C151" s="40" t="s">
        <v>155</v>
      </c>
      <c r="D151" s="40">
        <v>22</v>
      </c>
      <c r="E151" s="40">
        <v>20615.8</v>
      </c>
    </row>
    <row r="152" spans="2:5">
      <c r="B152" s="40" t="s">
        <v>43</v>
      </c>
      <c r="C152" s="40" t="s">
        <v>203</v>
      </c>
      <c r="D152" s="40">
        <v>27</v>
      </c>
      <c r="E152" s="40">
        <v>18339.060000000001</v>
      </c>
    </row>
    <row r="153" spans="2:5">
      <c r="B153" s="40" t="s">
        <v>57</v>
      </c>
      <c r="C153" s="40" t="s">
        <v>149</v>
      </c>
      <c r="D153" s="40">
        <v>18</v>
      </c>
      <c r="E153" s="40">
        <v>17760.849999999999</v>
      </c>
    </row>
    <row r="154" spans="2:5">
      <c r="B154" s="40" t="s">
        <v>47</v>
      </c>
      <c r="C154" s="40" t="s">
        <v>160</v>
      </c>
      <c r="D154" s="40">
        <v>29</v>
      </c>
      <c r="E154" s="40">
        <v>16622.53</v>
      </c>
    </row>
    <row r="155" spans="2:5">
      <c r="B155" s="40" t="s">
        <v>59</v>
      </c>
      <c r="C155" s="40" t="s">
        <v>157</v>
      </c>
      <c r="D155" s="40">
        <v>30</v>
      </c>
      <c r="E155" s="40">
        <v>15165.45</v>
      </c>
    </row>
    <row r="156" spans="2:5">
      <c r="B156" s="40" t="s">
        <v>45</v>
      </c>
      <c r="C156" s="40" t="s">
        <v>160</v>
      </c>
      <c r="D156" s="40">
        <v>14</v>
      </c>
      <c r="E156" s="40">
        <v>14987.24</v>
      </c>
    </row>
    <row r="157" spans="2:5">
      <c r="B157" s="40" t="s">
        <v>43</v>
      </c>
      <c r="C157" s="40" t="s">
        <v>160</v>
      </c>
      <c r="D157" s="40">
        <v>21</v>
      </c>
      <c r="E157" s="40">
        <v>14497.13</v>
      </c>
    </row>
    <row r="158" spans="2:5">
      <c r="B158" s="40" t="s">
        <v>47</v>
      </c>
      <c r="C158" s="40" t="s">
        <v>198</v>
      </c>
      <c r="D158" s="40">
        <v>18</v>
      </c>
      <c r="E158" s="40">
        <v>14264.11</v>
      </c>
    </row>
    <row r="159" spans="2:5">
      <c r="B159" s="40" t="s">
        <v>47</v>
      </c>
      <c r="C159" s="40" t="s">
        <v>203</v>
      </c>
      <c r="D159" s="40">
        <v>23</v>
      </c>
      <c r="E159" s="40">
        <v>13639.8</v>
      </c>
    </row>
    <row r="160" spans="2:5">
      <c r="B160" s="40" t="s">
        <v>40</v>
      </c>
      <c r="C160" s="40" t="s">
        <v>149</v>
      </c>
      <c r="D160" s="40">
        <v>25</v>
      </c>
      <c r="E160" s="40">
        <v>13288.85</v>
      </c>
    </row>
    <row r="161" spans="2:5">
      <c r="B161" s="40" t="s">
        <v>45</v>
      </c>
      <c r="C161" s="40" t="s">
        <v>178</v>
      </c>
      <c r="D161" s="40">
        <v>11</v>
      </c>
      <c r="E161" s="40">
        <v>13176.91</v>
      </c>
    </row>
    <row r="162" spans="2:5">
      <c r="B162" s="40" t="s">
        <v>59</v>
      </c>
      <c r="C162" s="40" t="s">
        <v>152</v>
      </c>
      <c r="D162" s="40">
        <v>31</v>
      </c>
      <c r="E162" s="40">
        <v>12961.47</v>
      </c>
    </row>
    <row r="163" spans="2:5">
      <c r="B163" s="40" t="s">
        <v>59</v>
      </c>
      <c r="C163" s="40" t="s">
        <v>178</v>
      </c>
      <c r="D163" s="40">
        <v>25</v>
      </c>
      <c r="E163" s="40">
        <v>12747.27</v>
      </c>
    </row>
    <row r="164" spans="2:5">
      <c r="B164" s="40" t="s">
        <v>40</v>
      </c>
      <c r="C164" s="40" t="s">
        <v>157</v>
      </c>
      <c r="D164" s="40">
        <v>31</v>
      </c>
      <c r="E164" s="40">
        <v>12707.13</v>
      </c>
    </row>
    <row r="165" spans="2:5">
      <c r="B165" s="40" t="s">
        <v>77</v>
      </c>
      <c r="C165" s="40" t="s">
        <v>152</v>
      </c>
      <c r="D165" s="40">
        <v>7</v>
      </c>
      <c r="E165" s="40">
        <v>12025.7</v>
      </c>
    </row>
    <row r="166" spans="2:5">
      <c r="B166" s="40" t="s">
        <v>51</v>
      </c>
      <c r="C166" s="40" t="s">
        <v>152</v>
      </c>
      <c r="D166" s="40">
        <v>22</v>
      </c>
      <c r="E166" s="40">
        <v>11354</v>
      </c>
    </row>
    <row r="167" spans="2:5">
      <c r="B167" s="40" t="s">
        <v>70</v>
      </c>
      <c r="C167" s="40" t="s">
        <v>152</v>
      </c>
      <c r="D167" s="40">
        <v>9</v>
      </c>
      <c r="E167" s="40">
        <v>11174.81</v>
      </c>
    </row>
    <row r="168" spans="2:5">
      <c r="B168" s="40" t="s">
        <v>38</v>
      </c>
      <c r="C168" s="40" t="s">
        <v>149</v>
      </c>
      <c r="D168" s="40">
        <v>20</v>
      </c>
      <c r="E168" s="40">
        <v>11120.95</v>
      </c>
    </row>
    <row r="169" spans="2:5">
      <c r="B169" s="40" t="s">
        <v>40</v>
      </c>
      <c r="C169" s="40" t="s">
        <v>178</v>
      </c>
      <c r="D169" s="40">
        <v>29</v>
      </c>
      <c r="E169" s="40">
        <v>11114.1</v>
      </c>
    </row>
    <row r="170" spans="2:5">
      <c r="B170" s="40" t="s">
        <v>59</v>
      </c>
      <c r="C170" s="40" t="s">
        <v>155</v>
      </c>
      <c r="D170" s="40">
        <v>13</v>
      </c>
      <c r="E170" s="40">
        <v>10911.29</v>
      </c>
    </row>
    <row r="171" spans="2:5">
      <c r="B171" s="40" t="s">
        <v>45</v>
      </c>
      <c r="C171" s="40" t="s">
        <v>155</v>
      </c>
      <c r="D171" s="40">
        <v>9</v>
      </c>
      <c r="E171" s="40">
        <v>10821.56</v>
      </c>
    </row>
    <row r="172" spans="2:5">
      <c r="B172" s="40" t="s">
        <v>40</v>
      </c>
      <c r="C172" s="40" t="s">
        <v>160</v>
      </c>
      <c r="D172" s="40">
        <v>20</v>
      </c>
      <c r="E172" s="40">
        <v>10237.61</v>
      </c>
    </row>
    <row r="173" spans="2:5">
      <c r="B173" s="40" t="s">
        <v>45</v>
      </c>
      <c r="C173" s="40" t="s">
        <v>198</v>
      </c>
      <c r="D173" s="40">
        <v>8</v>
      </c>
      <c r="E173" s="40">
        <v>10088.27</v>
      </c>
    </row>
    <row r="174" spans="2:5">
      <c r="B174" s="40" t="s">
        <v>43</v>
      </c>
      <c r="C174" s="40" t="s">
        <v>198</v>
      </c>
      <c r="D174" s="40">
        <v>15</v>
      </c>
      <c r="E174" s="40">
        <v>9765.2800000000007</v>
      </c>
    </row>
    <row r="175" spans="2:5">
      <c r="B175" s="40" t="s">
        <v>45</v>
      </c>
      <c r="C175" s="40" t="s">
        <v>203</v>
      </c>
      <c r="D175" s="40">
        <v>10</v>
      </c>
      <c r="E175" s="40">
        <v>9540.2000000000007</v>
      </c>
    </row>
    <row r="176" spans="2:5">
      <c r="B176" s="40" t="s">
        <v>70</v>
      </c>
      <c r="C176" s="40" t="s">
        <v>149</v>
      </c>
      <c r="D176" s="40">
        <v>9</v>
      </c>
      <c r="E176" s="40">
        <v>9519.67</v>
      </c>
    </row>
    <row r="177" spans="2:5">
      <c r="B177" s="40" t="s">
        <v>54</v>
      </c>
      <c r="C177" s="40" t="s">
        <v>149</v>
      </c>
      <c r="D177" s="40">
        <v>10</v>
      </c>
      <c r="E177" s="40">
        <v>9010.11</v>
      </c>
    </row>
    <row r="178" spans="2:5">
      <c r="B178" s="40" t="s">
        <v>51</v>
      </c>
      <c r="C178" s="40" t="s">
        <v>198</v>
      </c>
      <c r="D178" s="40">
        <v>6</v>
      </c>
      <c r="E178" s="40">
        <v>8979.2000000000007</v>
      </c>
    </row>
    <row r="179" spans="2:5">
      <c r="B179" s="40" t="s">
        <v>59</v>
      </c>
      <c r="C179" s="40" t="s">
        <v>149</v>
      </c>
      <c r="D179" s="40">
        <v>20</v>
      </c>
      <c r="E179" s="40">
        <v>8650.39</v>
      </c>
    </row>
    <row r="180" spans="2:5">
      <c r="B180" s="40" t="s">
        <v>38</v>
      </c>
      <c r="C180" s="40" t="s">
        <v>178</v>
      </c>
      <c r="D180" s="40">
        <v>15</v>
      </c>
      <c r="E180" s="40">
        <v>8458.2800000000007</v>
      </c>
    </row>
    <row r="181" spans="2:5">
      <c r="B181" s="40" t="s">
        <v>57</v>
      </c>
      <c r="C181" s="40" t="s">
        <v>157</v>
      </c>
      <c r="D181" s="40">
        <v>19</v>
      </c>
      <c r="E181" s="40">
        <v>8371.4699999999993</v>
      </c>
    </row>
    <row r="182" spans="2:5">
      <c r="B182" s="40" t="s">
        <v>81</v>
      </c>
      <c r="C182" s="40" t="s">
        <v>149</v>
      </c>
      <c r="D182" s="40">
        <v>7</v>
      </c>
      <c r="E182" s="40">
        <v>8015</v>
      </c>
    </row>
    <row r="183" spans="2:5">
      <c r="B183" s="40" t="s">
        <v>59</v>
      </c>
      <c r="C183" s="40" t="s">
        <v>198</v>
      </c>
      <c r="D183" s="40">
        <v>13</v>
      </c>
      <c r="E183" s="40">
        <v>7898.86</v>
      </c>
    </row>
    <row r="184" spans="2:5">
      <c r="B184" s="40" t="s">
        <v>51</v>
      </c>
      <c r="C184" s="40" t="s">
        <v>155</v>
      </c>
      <c r="D184" s="40">
        <v>10</v>
      </c>
      <c r="E184" s="40">
        <v>7656.63</v>
      </c>
    </row>
    <row r="185" spans="2:5">
      <c r="B185" s="40" t="s">
        <v>49</v>
      </c>
      <c r="C185" s="40" t="s">
        <v>152</v>
      </c>
      <c r="D185" s="40">
        <v>13</v>
      </c>
      <c r="E185" s="40">
        <v>7544</v>
      </c>
    </row>
    <row r="186" spans="2:5">
      <c r="B186" s="40" t="s">
        <v>70</v>
      </c>
      <c r="C186" s="40" t="s">
        <v>178</v>
      </c>
      <c r="D186" s="40">
        <v>13</v>
      </c>
      <c r="E186" s="40">
        <v>7541</v>
      </c>
    </row>
    <row r="187" spans="2:5">
      <c r="B187" s="40" t="s">
        <v>81</v>
      </c>
      <c r="C187" s="40" t="s">
        <v>178</v>
      </c>
      <c r="D187" s="40">
        <v>8</v>
      </c>
      <c r="E187" s="40">
        <v>7479.58</v>
      </c>
    </row>
    <row r="188" spans="2:5">
      <c r="B188" s="40" t="s">
        <v>45</v>
      </c>
      <c r="C188" s="40" t="s">
        <v>157</v>
      </c>
      <c r="D188" s="40">
        <v>9</v>
      </c>
      <c r="E188" s="40">
        <v>7202.22</v>
      </c>
    </row>
    <row r="189" spans="2:5">
      <c r="B189" s="40" t="s">
        <v>40</v>
      </c>
      <c r="C189" s="40" t="s">
        <v>155</v>
      </c>
      <c r="D189" s="40">
        <v>12</v>
      </c>
      <c r="E189" s="40">
        <v>7095.11</v>
      </c>
    </row>
    <row r="190" spans="2:5">
      <c r="B190" s="40" t="s">
        <v>98</v>
      </c>
      <c r="C190" s="40" t="s">
        <v>155</v>
      </c>
      <c r="D190" s="40">
        <v>7</v>
      </c>
      <c r="E190" s="40">
        <v>6866.95</v>
      </c>
    </row>
    <row r="191" spans="2:5">
      <c r="B191" s="40" t="s">
        <v>57</v>
      </c>
      <c r="C191" s="40" t="s">
        <v>178</v>
      </c>
      <c r="D191" s="40">
        <v>15</v>
      </c>
      <c r="E191" s="40">
        <v>6820.82</v>
      </c>
    </row>
    <row r="192" spans="2:5">
      <c r="B192" s="40" t="s">
        <v>38</v>
      </c>
      <c r="C192" s="40" t="s">
        <v>198</v>
      </c>
      <c r="D192" s="40">
        <v>8</v>
      </c>
      <c r="E192" s="40">
        <v>6660.6</v>
      </c>
    </row>
    <row r="193" spans="2:5">
      <c r="B193" s="40" t="s">
        <v>51</v>
      </c>
      <c r="C193" s="40" t="s">
        <v>149</v>
      </c>
      <c r="D193" s="40">
        <v>11</v>
      </c>
      <c r="E193" s="40">
        <v>6378.95</v>
      </c>
    </row>
    <row r="194" spans="2:5">
      <c r="B194" s="40" t="s">
        <v>96</v>
      </c>
      <c r="C194" s="40" t="s">
        <v>149</v>
      </c>
      <c r="D194" s="40">
        <v>6</v>
      </c>
      <c r="E194" s="40">
        <v>6322.02</v>
      </c>
    </row>
    <row r="195" spans="2:5">
      <c r="B195" s="40" t="s">
        <v>57</v>
      </c>
      <c r="C195" s="40" t="s">
        <v>152</v>
      </c>
      <c r="D195" s="40">
        <v>18</v>
      </c>
      <c r="E195" s="40">
        <v>6272.35</v>
      </c>
    </row>
    <row r="196" spans="2:5">
      <c r="B196" s="40" t="s">
        <v>51</v>
      </c>
      <c r="C196" s="40" t="s">
        <v>157</v>
      </c>
      <c r="D196" s="40">
        <v>15</v>
      </c>
      <c r="E196" s="40">
        <v>6232.84</v>
      </c>
    </row>
    <row r="197" spans="2:5">
      <c r="B197" s="40" t="s">
        <v>40</v>
      </c>
      <c r="C197" s="40" t="s">
        <v>203</v>
      </c>
      <c r="D197" s="40">
        <v>14</v>
      </c>
      <c r="E197" s="40">
        <v>6121.55</v>
      </c>
    </row>
    <row r="198" spans="2:5">
      <c r="B198" s="40" t="s">
        <v>59</v>
      </c>
      <c r="C198" s="40" t="s">
        <v>160</v>
      </c>
      <c r="D198" s="40">
        <v>11</v>
      </c>
      <c r="E198" s="40">
        <v>6111.79</v>
      </c>
    </row>
    <row r="199" spans="2:5">
      <c r="B199" s="40" t="s">
        <v>54</v>
      </c>
      <c r="C199" s="40" t="s">
        <v>157</v>
      </c>
      <c r="D199" s="40">
        <v>9</v>
      </c>
      <c r="E199" s="40">
        <v>5976.23</v>
      </c>
    </row>
    <row r="200" spans="2:5">
      <c r="B200" s="40" t="s">
        <v>59</v>
      </c>
      <c r="C200" s="40" t="s">
        <v>203</v>
      </c>
      <c r="D200" s="40">
        <v>18</v>
      </c>
      <c r="E200" s="40">
        <v>5873.06</v>
      </c>
    </row>
    <row r="201" spans="2:5">
      <c r="B201" s="40" t="s">
        <v>65</v>
      </c>
      <c r="C201" s="40" t="s">
        <v>149</v>
      </c>
      <c r="D201" s="40">
        <v>9</v>
      </c>
      <c r="E201" s="40">
        <v>5558.11</v>
      </c>
    </row>
    <row r="202" spans="2:5">
      <c r="B202" s="40" t="s">
        <v>70</v>
      </c>
      <c r="C202" s="40" t="s">
        <v>203</v>
      </c>
      <c r="D202" s="40">
        <v>10</v>
      </c>
      <c r="E202" s="40">
        <v>5557.65</v>
      </c>
    </row>
    <row r="203" spans="2:5">
      <c r="B203" s="40" t="s">
        <v>38</v>
      </c>
      <c r="C203" s="40" t="s">
        <v>152</v>
      </c>
      <c r="D203" s="40">
        <v>21</v>
      </c>
      <c r="E203" s="40">
        <v>5513.6</v>
      </c>
    </row>
    <row r="204" spans="2:5">
      <c r="B204" s="40" t="s">
        <v>38</v>
      </c>
      <c r="C204" s="40" t="s">
        <v>155</v>
      </c>
      <c r="D204" s="40">
        <v>8</v>
      </c>
      <c r="E204" s="40">
        <v>5502.44</v>
      </c>
    </row>
    <row r="205" spans="2:5">
      <c r="B205" s="40" t="s">
        <v>38</v>
      </c>
      <c r="C205" s="40" t="s">
        <v>203</v>
      </c>
      <c r="D205" s="40">
        <v>18</v>
      </c>
      <c r="E205" s="40">
        <v>5172.8</v>
      </c>
    </row>
    <row r="206" spans="2:5">
      <c r="B206" s="40" t="s">
        <v>51</v>
      </c>
      <c r="C206" s="40" t="s">
        <v>178</v>
      </c>
      <c r="D206" s="40">
        <v>10</v>
      </c>
      <c r="E206" s="40">
        <v>5169.63</v>
      </c>
    </row>
    <row r="207" spans="2:5">
      <c r="B207" s="40" t="s">
        <v>96</v>
      </c>
      <c r="C207" s="40" t="s">
        <v>155</v>
      </c>
      <c r="D207" s="40">
        <v>2</v>
      </c>
      <c r="E207" s="40">
        <v>4799.16</v>
      </c>
    </row>
    <row r="208" spans="2:5">
      <c r="B208" s="40" t="s">
        <v>70</v>
      </c>
      <c r="C208" s="40" t="s">
        <v>160</v>
      </c>
      <c r="D208" s="40">
        <v>10</v>
      </c>
      <c r="E208" s="40">
        <v>4760.08</v>
      </c>
    </row>
    <row r="209" spans="2:5">
      <c r="B209" s="40" t="s">
        <v>51</v>
      </c>
      <c r="C209" s="40" t="s">
        <v>160</v>
      </c>
      <c r="D209" s="40">
        <v>8</v>
      </c>
      <c r="E209" s="40">
        <v>4717.8999999999996</v>
      </c>
    </row>
    <row r="210" spans="2:5">
      <c r="B210" s="40" t="s">
        <v>40</v>
      </c>
      <c r="C210" s="40" t="s">
        <v>198</v>
      </c>
      <c r="D210" s="40">
        <v>6</v>
      </c>
      <c r="E210" s="40">
        <v>4553.1400000000003</v>
      </c>
    </row>
    <row r="211" spans="2:5">
      <c r="B211" s="40" t="s">
        <v>49</v>
      </c>
      <c r="C211" s="40" t="s">
        <v>149</v>
      </c>
      <c r="D211" s="40">
        <v>13</v>
      </c>
      <c r="E211" s="40">
        <v>4511.8999999999996</v>
      </c>
    </row>
    <row r="212" spans="2:5">
      <c r="B212" s="40" t="s">
        <v>38</v>
      </c>
      <c r="C212" s="40" t="s">
        <v>157</v>
      </c>
      <c r="D212" s="40">
        <v>15</v>
      </c>
      <c r="E212" s="40">
        <v>4487.96</v>
      </c>
    </row>
    <row r="213" spans="2:5">
      <c r="B213" s="40" t="s">
        <v>77</v>
      </c>
      <c r="C213" s="40" t="s">
        <v>160</v>
      </c>
      <c r="D213" s="40">
        <v>9</v>
      </c>
      <c r="E213" s="40">
        <v>4325.1499999999996</v>
      </c>
    </row>
    <row r="214" spans="2:5">
      <c r="B214" s="40" t="s">
        <v>70</v>
      </c>
      <c r="C214" s="40" t="s">
        <v>157</v>
      </c>
      <c r="D214" s="40">
        <v>8</v>
      </c>
      <c r="E214" s="40">
        <v>4324.05</v>
      </c>
    </row>
    <row r="215" spans="2:5">
      <c r="B215" s="40" t="s">
        <v>81</v>
      </c>
      <c r="C215" s="40" t="s">
        <v>152</v>
      </c>
      <c r="D215" s="40">
        <v>7</v>
      </c>
      <c r="E215" s="40">
        <v>4168.68</v>
      </c>
    </row>
    <row r="216" spans="2:5">
      <c r="B216" s="40" t="s">
        <v>96</v>
      </c>
      <c r="C216" s="40" t="s">
        <v>203</v>
      </c>
      <c r="D216" s="40">
        <v>6</v>
      </c>
      <c r="E216" s="40">
        <v>4102.6000000000004</v>
      </c>
    </row>
    <row r="217" spans="2:5">
      <c r="B217" s="40" t="s">
        <v>57</v>
      </c>
      <c r="C217" s="40" t="s">
        <v>155</v>
      </c>
      <c r="D217" s="40">
        <v>5</v>
      </c>
      <c r="E217" s="40">
        <v>4059.48</v>
      </c>
    </row>
    <row r="218" spans="2:5">
      <c r="B218" s="40" t="s">
        <v>77</v>
      </c>
      <c r="C218" s="40" t="s">
        <v>198</v>
      </c>
      <c r="D218" s="40">
        <v>3</v>
      </c>
      <c r="E218" s="40">
        <v>3954.9</v>
      </c>
    </row>
    <row r="219" spans="2:5">
      <c r="B219" s="40" t="s">
        <v>83</v>
      </c>
      <c r="C219" s="40" t="s">
        <v>149</v>
      </c>
      <c r="D219" s="40">
        <v>7</v>
      </c>
      <c r="E219" s="40">
        <v>3859.14</v>
      </c>
    </row>
    <row r="220" spans="2:5">
      <c r="B220" s="40" t="s">
        <v>77</v>
      </c>
      <c r="C220" s="40" t="s">
        <v>157</v>
      </c>
      <c r="D220" s="40">
        <v>8</v>
      </c>
      <c r="E220" s="40">
        <v>3857.26</v>
      </c>
    </row>
    <row r="221" spans="2:5">
      <c r="B221" s="40" t="s">
        <v>70</v>
      </c>
      <c r="C221" s="40" t="s">
        <v>155</v>
      </c>
      <c r="D221" s="40">
        <v>4</v>
      </c>
      <c r="E221" s="40">
        <v>3766.8</v>
      </c>
    </row>
    <row r="222" spans="2:5">
      <c r="B222" s="40" t="s">
        <v>68</v>
      </c>
      <c r="C222" s="40" t="s">
        <v>160</v>
      </c>
      <c r="D222" s="40">
        <v>7</v>
      </c>
      <c r="E222" s="40">
        <v>3688.29</v>
      </c>
    </row>
    <row r="223" spans="2:5">
      <c r="B223" s="40" t="s">
        <v>38</v>
      </c>
      <c r="C223" s="40" t="s">
        <v>160</v>
      </c>
      <c r="D223" s="40">
        <v>6</v>
      </c>
      <c r="E223" s="40">
        <v>3493.5</v>
      </c>
    </row>
    <row r="224" spans="2:5">
      <c r="B224" s="40" t="s">
        <v>54</v>
      </c>
      <c r="C224" s="40" t="s">
        <v>160</v>
      </c>
      <c r="D224" s="40">
        <v>5</v>
      </c>
      <c r="E224" s="40">
        <v>3477.62</v>
      </c>
    </row>
    <row r="225" spans="2:5">
      <c r="B225" s="40" t="s">
        <v>54</v>
      </c>
      <c r="C225" s="40" t="s">
        <v>198</v>
      </c>
      <c r="D225" s="40">
        <v>3</v>
      </c>
      <c r="E225" s="40">
        <v>3414.66</v>
      </c>
    </row>
    <row r="226" spans="2:5">
      <c r="B226" s="40" t="s">
        <v>65</v>
      </c>
      <c r="C226" s="40" t="s">
        <v>155</v>
      </c>
      <c r="D226" s="40">
        <v>6</v>
      </c>
      <c r="E226" s="40">
        <v>3340.78</v>
      </c>
    </row>
    <row r="227" spans="2:5">
      <c r="B227" s="40" t="s">
        <v>81</v>
      </c>
      <c r="C227" s="40" t="s">
        <v>198</v>
      </c>
      <c r="D227" s="40">
        <v>4</v>
      </c>
      <c r="E227" s="40">
        <v>3223.2</v>
      </c>
    </row>
    <row r="228" spans="2:5">
      <c r="B228" s="40" t="s">
        <v>51</v>
      </c>
      <c r="C228" s="40" t="s">
        <v>203</v>
      </c>
      <c r="D228" s="40">
        <v>4</v>
      </c>
      <c r="E228" s="40">
        <v>3196</v>
      </c>
    </row>
    <row r="229" spans="2:5">
      <c r="B229" s="40" t="s">
        <v>77</v>
      </c>
      <c r="C229" s="40" t="s">
        <v>155</v>
      </c>
      <c r="D229" s="40">
        <v>4</v>
      </c>
      <c r="E229" s="40">
        <v>3162.5</v>
      </c>
    </row>
    <row r="230" spans="2:5">
      <c r="B230" s="40" t="s">
        <v>57</v>
      </c>
      <c r="C230" s="40" t="s">
        <v>198</v>
      </c>
      <c r="D230" s="40">
        <v>4</v>
      </c>
      <c r="E230" s="40">
        <v>3124</v>
      </c>
    </row>
    <row r="231" spans="2:5">
      <c r="B231" s="40" t="s">
        <v>96</v>
      </c>
      <c r="C231" s="40" t="s">
        <v>178</v>
      </c>
      <c r="D231" s="40">
        <v>6</v>
      </c>
      <c r="E231" s="40">
        <v>3067.44</v>
      </c>
    </row>
    <row r="232" spans="2:5">
      <c r="B232" s="40" t="s">
        <v>49</v>
      </c>
      <c r="C232" s="40" t="s">
        <v>155</v>
      </c>
      <c r="D232" s="40">
        <v>5</v>
      </c>
      <c r="E232" s="40">
        <v>2828.9</v>
      </c>
    </row>
    <row r="233" spans="2:5">
      <c r="B233" s="40" t="s">
        <v>81</v>
      </c>
      <c r="C233" s="40" t="s">
        <v>203</v>
      </c>
      <c r="D233" s="40">
        <v>5</v>
      </c>
      <c r="E233" s="40">
        <v>2792</v>
      </c>
    </row>
    <row r="234" spans="2:5">
      <c r="B234" s="40" t="s">
        <v>96</v>
      </c>
      <c r="C234" s="40" t="s">
        <v>157</v>
      </c>
      <c r="D234" s="40">
        <v>8</v>
      </c>
      <c r="E234" s="40">
        <v>2766.1</v>
      </c>
    </row>
    <row r="235" spans="2:5">
      <c r="B235" s="40" t="s">
        <v>114</v>
      </c>
      <c r="C235" s="40" t="s">
        <v>152</v>
      </c>
      <c r="D235" s="40">
        <v>3</v>
      </c>
      <c r="E235" s="40">
        <v>2756</v>
      </c>
    </row>
    <row r="236" spans="2:5">
      <c r="B236" s="40" t="s">
        <v>54</v>
      </c>
      <c r="C236" s="40" t="s">
        <v>152</v>
      </c>
      <c r="D236" s="40">
        <v>8</v>
      </c>
      <c r="E236" s="40">
        <v>2725.32</v>
      </c>
    </row>
    <row r="237" spans="2:5">
      <c r="B237" s="40" t="s">
        <v>57</v>
      </c>
      <c r="C237" s="40" t="s">
        <v>203</v>
      </c>
      <c r="D237" s="40">
        <v>7</v>
      </c>
      <c r="E237" s="40">
        <v>2712</v>
      </c>
    </row>
    <row r="238" spans="2:5">
      <c r="B238" s="40" t="s">
        <v>83</v>
      </c>
      <c r="C238" s="40" t="s">
        <v>178</v>
      </c>
      <c r="D238" s="40">
        <v>8</v>
      </c>
      <c r="E238" s="40">
        <v>2674.05</v>
      </c>
    </row>
    <row r="239" spans="2:5">
      <c r="B239" s="40" t="s">
        <v>77</v>
      </c>
      <c r="C239" s="40" t="s">
        <v>149</v>
      </c>
      <c r="D239" s="40">
        <v>4</v>
      </c>
      <c r="E239" s="40">
        <v>2644.3</v>
      </c>
    </row>
    <row r="240" spans="2:5">
      <c r="B240" s="40" t="s">
        <v>49</v>
      </c>
      <c r="C240" s="40" t="s">
        <v>198</v>
      </c>
      <c r="D240" s="40">
        <v>4</v>
      </c>
      <c r="E240" s="40">
        <v>2517.75</v>
      </c>
    </row>
    <row r="241" spans="2:5">
      <c r="B241" s="40" t="s">
        <v>65</v>
      </c>
      <c r="C241" s="40" t="s">
        <v>203</v>
      </c>
      <c r="D241" s="40">
        <v>5</v>
      </c>
      <c r="E241" s="40">
        <v>2477</v>
      </c>
    </row>
    <row r="242" spans="2:5">
      <c r="B242" s="40" t="s">
        <v>81</v>
      </c>
      <c r="C242" s="40" t="s">
        <v>160</v>
      </c>
      <c r="D242" s="40">
        <v>5</v>
      </c>
      <c r="E242" s="40">
        <v>2454.8000000000002</v>
      </c>
    </row>
    <row r="243" spans="2:5">
      <c r="B243" s="40" t="s">
        <v>77</v>
      </c>
      <c r="C243" s="40" t="s">
        <v>178</v>
      </c>
      <c r="D243" s="40">
        <v>6</v>
      </c>
      <c r="E243" s="40">
        <v>2359.38</v>
      </c>
    </row>
    <row r="244" spans="2:5">
      <c r="B244" s="40" t="s">
        <v>68</v>
      </c>
      <c r="C244" s="40" t="s">
        <v>203</v>
      </c>
      <c r="D244" s="40">
        <v>4</v>
      </c>
      <c r="E244" s="40">
        <v>2164.4</v>
      </c>
    </row>
    <row r="245" spans="2:5">
      <c r="B245" s="40" t="s">
        <v>96</v>
      </c>
      <c r="C245" s="40" t="s">
        <v>198</v>
      </c>
      <c r="D245" s="40">
        <v>4</v>
      </c>
      <c r="E245" s="40">
        <v>2132.5</v>
      </c>
    </row>
    <row r="246" spans="2:5">
      <c r="B246" s="40" t="s">
        <v>98</v>
      </c>
      <c r="C246" s="40" t="s">
        <v>198</v>
      </c>
      <c r="D246" s="40">
        <v>1</v>
      </c>
      <c r="E246" s="40">
        <v>2120</v>
      </c>
    </row>
    <row r="247" spans="2:5">
      <c r="B247" s="40" t="s">
        <v>61</v>
      </c>
      <c r="C247" s="40" t="s">
        <v>178</v>
      </c>
      <c r="D247" s="40">
        <v>7</v>
      </c>
      <c r="E247" s="40">
        <v>2095.1</v>
      </c>
    </row>
    <row r="248" spans="2:5">
      <c r="B248" s="40" t="s">
        <v>81</v>
      </c>
      <c r="C248" s="40" t="s">
        <v>155</v>
      </c>
      <c r="D248" s="40">
        <v>3</v>
      </c>
      <c r="E248" s="40">
        <v>2064</v>
      </c>
    </row>
    <row r="249" spans="2:5">
      <c r="B249" s="40" t="s">
        <v>65</v>
      </c>
      <c r="C249" s="40" t="s">
        <v>152</v>
      </c>
      <c r="D249" s="40">
        <v>8</v>
      </c>
      <c r="E249" s="40">
        <v>2020.4</v>
      </c>
    </row>
    <row r="250" spans="2:5">
      <c r="B250" s="40" t="s">
        <v>57</v>
      </c>
      <c r="C250" s="40" t="s">
        <v>160</v>
      </c>
      <c r="D250" s="40">
        <v>8</v>
      </c>
      <c r="E250" s="40">
        <v>1955.05</v>
      </c>
    </row>
    <row r="251" spans="2:5">
      <c r="B251" s="40" t="s">
        <v>49</v>
      </c>
      <c r="C251" s="40" t="s">
        <v>178</v>
      </c>
      <c r="D251" s="40">
        <v>7</v>
      </c>
      <c r="E251" s="40">
        <v>1897.73</v>
      </c>
    </row>
    <row r="252" spans="2:5">
      <c r="B252" s="40" t="s">
        <v>65</v>
      </c>
      <c r="C252" s="40" t="s">
        <v>160</v>
      </c>
      <c r="D252" s="40">
        <v>5</v>
      </c>
      <c r="E252" s="40">
        <v>1873</v>
      </c>
    </row>
    <row r="253" spans="2:5">
      <c r="B253" s="40" t="s">
        <v>49</v>
      </c>
      <c r="C253" s="40" t="s">
        <v>157</v>
      </c>
      <c r="D253" s="40">
        <v>8</v>
      </c>
      <c r="E253" s="40">
        <v>1836.6</v>
      </c>
    </row>
    <row r="254" spans="2:5">
      <c r="B254" s="40" t="s">
        <v>83</v>
      </c>
      <c r="C254" s="40" t="s">
        <v>203</v>
      </c>
      <c r="D254" s="40">
        <v>5</v>
      </c>
      <c r="E254" s="40">
        <v>1743.5</v>
      </c>
    </row>
    <row r="255" spans="2:5">
      <c r="B255" s="40" t="s">
        <v>98</v>
      </c>
      <c r="C255" s="40" t="s">
        <v>178</v>
      </c>
      <c r="D255" s="40">
        <v>8</v>
      </c>
      <c r="E255" s="40">
        <v>1713.75</v>
      </c>
    </row>
    <row r="256" spans="2:5">
      <c r="B256" s="40" t="s">
        <v>98</v>
      </c>
      <c r="C256" s="40" t="s">
        <v>160</v>
      </c>
      <c r="D256" s="40">
        <v>5</v>
      </c>
      <c r="E256" s="40">
        <v>1688.45</v>
      </c>
    </row>
    <row r="257" spans="2:5">
      <c r="B257" s="40" t="s">
        <v>54</v>
      </c>
      <c r="C257" s="40" t="s">
        <v>178</v>
      </c>
      <c r="D257" s="40">
        <v>3</v>
      </c>
      <c r="E257" s="40">
        <v>1676.38</v>
      </c>
    </row>
    <row r="258" spans="2:5">
      <c r="B258" s="40" t="s">
        <v>98</v>
      </c>
      <c r="C258" s="40" t="s">
        <v>203</v>
      </c>
      <c r="D258" s="40">
        <v>6</v>
      </c>
      <c r="E258" s="40">
        <v>1616.06</v>
      </c>
    </row>
    <row r="259" spans="2:5">
      <c r="B259" s="40" t="s">
        <v>61</v>
      </c>
      <c r="C259" s="40" t="s">
        <v>152</v>
      </c>
      <c r="D259" s="40">
        <v>5</v>
      </c>
      <c r="E259" s="40">
        <v>1518</v>
      </c>
    </row>
    <row r="260" spans="2:5">
      <c r="B260" s="40" t="s">
        <v>96</v>
      </c>
      <c r="C260" s="40" t="s">
        <v>152</v>
      </c>
      <c r="D260" s="40">
        <v>5</v>
      </c>
      <c r="E260" s="40">
        <v>1501.62</v>
      </c>
    </row>
    <row r="261" spans="2:5">
      <c r="B261" s="40" t="s">
        <v>54</v>
      </c>
      <c r="C261" s="40" t="s">
        <v>203</v>
      </c>
      <c r="D261" s="40">
        <v>3</v>
      </c>
      <c r="E261" s="40">
        <v>1442.4</v>
      </c>
    </row>
    <row r="262" spans="2:5">
      <c r="B262" s="40" t="s">
        <v>98</v>
      </c>
      <c r="C262" s="40" t="s">
        <v>157</v>
      </c>
      <c r="D262" s="40">
        <v>6</v>
      </c>
      <c r="E262" s="40">
        <v>1351.29</v>
      </c>
    </row>
    <row r="263" spans="2:5">
      <c r="B263" s="40" t="s">
        <v>68</v>
      </c>
      <c r="C263" s="40" t="s">
        <v>155</v>
      </c>
      <c r="D263" s="40">
        <v>2</v>
      </c>
      <c r="E263" s="40">
        <v>1338.2</v>
      </c>
    </row>
    <row r="264" spans="2:5">
      <c r="B264" s="40" t="s">
        <v>83</v>
      </c>
      <c r="C264" s="40" t="s">
        <v>160</v>
      </c>
      <c r="D264" s="40">
        <v>4</v>
      </c>
      <c r="E264" s="40">
        <v>1264.22</v>
      </c>
    </row>
    <row r="265" spans="2:5">
      <c r="B265" s="40" t="s">
        <v>98</v>
      </c>
      <c r="C265" s="40" t="s">
        <v>152</v>
      </c>
      <c r="D265" s="40">
        <v>5</v>
      </c>
      <c r="E265" s="40">
        <v>1249.2</v>
      </c>
    </row>
    <row r="266" spans="2:5">
      <c r="B266" s="40" t="s">
        <v>49</v>
      </c>
      <c r="C266" s="40" t="s">
        <v>160</v>
      </c>
      <c r="D266" s="40">
        <v>5</v>
      </c>
      <c r="E266" s="40">
        <v>1235.45</v>
      </c>
    </row>
    <row r="267" spans="2:5">
      <c r="B267" s="40" t="s">
        <v>83</v>
      </c>
      <c r="C267" s="40" t="s">
        <v>157</v>
      </c>
      <c r="D267" s="40">
        <v>7</v>
      </c>
      <c r="E267" s="40">
        <v>1221</v>
      </c>
    </row>
    <row r="268" spans="2:5">
      <c r="B268" s="40" t="s">
        <v>81</v>
      </c>
      <c r="C268" s="40" t="s">
        <v>157</v>
      </c>
      <c r="D268" s="40">
        <v>4</v>
      </c>
      <c r="E268" s="40">
        <v>1140.5</v>
      </c>
    </row>
    <row r="269" spans="2:5">
      <c r="B269" s="40" t="s">
        <v>65</v>
      </c>
      <c r="C269" s="40" t="s">
        <v>157</v>
      </c>
      <c r="D269" s="40">
        <v>5</v>
      </c>
      <c r="E269" s="40">
        <v>1139.3</v>
      </c>
    </row>
    <row r="270" spans="2:5">
      <c r="B270" s="40" t="s">
        <v>61</v>
      </c>
      <c r="C270" s="40" t="s">
        <v>198</v>
      </c>
      <c r="D270" s="40">
        <v>4</v>
      </c>
      <c r="E270" s="40">
        <v>1139</v>
      </c>
    </row>
    <row r="271" spans="2:5">
      <c r="B271" s="40" t="s">
        <v>61</v>
      </c>
      <c r="C271" s="40" t="s">
        <v>149</v>
      </c>
      <c r="D271" s="40">
        <v>5</v>
      </c>
      <c r="E271" s="40">
        <v>1118.5</v>
      </c>
    </row>
    <row r="272" spans="2:5">
      <c r="B272" s="40" t="s">
        <v>65</v>
      </c>
      <c r="C272" s="40" t="s">
        <v>198</v>
      </c>
      <c r="D272" s="40">
        <v>5</v>
      </c>
      <c r="E272" s="40">
        <v>1106.4100000000001</v>
      </c>
    </row>
    <row r="273" spans="2:5">
      <c r="B273" s="40" t="s">
        <v>83</v>
      </c>
      <c r="C273" s="40" t="s">
        <v>198</v>
      </c>
      <c r="D273" s="40">
        <v>3</v>
      </c>
      <c r="E273" s="40">
        <v>1056.8</v>
      </c>
    </row>
    <row r="274" spans="2:5">
      <c r="B274" s="40" t="s">
        <v>68</v>
      </c>
      <c r="C274" s="40" t="s">
        <v>152</v>
      </c>
      <c r="D274" s="40">
        <v>5</v>
      </c>
      <c r="E274" s="40">
        <v>1046.4000000000001</v>
      </c>
    </row>
    <row r="275" spans="2:5">
      <c r="B275" s="40" t="s">
        <v>65</v>
      </c>
      <c r="C275" s="40" t="s">
        <v>178</v>
      </c>
      <c r="D275" s="40">
        <v>6</v>
      </c>
      <c r="E275" s="40">
        <v>1025.05</v>
      </c>
    </row>
    <row r="276" spans="2:5">
      <c r="B276" s="40" t="s">
        <v>68</v>
      </c>
      <c r="C276" s="40" t="s">
        <v>149</v>
      </c>
      <c r="D276" s="40">
        <v>3</v>
      </c>
      <c r="E276" s="40">
        <v>997.8</v>
      </c>
    </row>
    <row r="277" spans="2:5">
      <c r="B277" s="40" t="s">
        <v>68</v>
      </c>
      <c r="C277" s="40" t="s">
        <v>178</v>
      </c>
      <c r="D277" s="40">
        <v>5</v>
      </c>
      <c r="E277" s="40">
        <v>956.15</v>
      </c>
    </row>
    <row r="278" spans="2:5">
      <c r="B278" s="40" t="s">
        <v>61</v>
      </c>
      <c r="C278" s="40" t="s">
        <v>160</v>
      </c>
      <c r="D278" s="40">
        <v>3</v>
      </c>
      <c r="E278" s="40">
        <v>907</v>
      </c>
    </row>
    <row r="279" spans="2:5">
      <c r="B279" s="40" t="s">
        <v>70</v>
      </c>
      <c r="C279" s="40" t="s">
        <v>198</v>
      </c>
      <c r="D279" s="40">
        <v>2</v>
      </c>
      <c r="E279" s="40">
        <v>840</v>
      </c>
    </row>
    <row r="280" spans="2:5">
      <c r="B280" s="40" t="s">
        <v>108</v>
      </c>
      <c r="C280" s="40" t="s">
        <v>152</v>
      </c>
      <c r="D280" s="40">
        <v>4</v>
      </c>
      <c r="E280" s="40">
        <v>828.5</v>
      </c>
    </row>
    <row r="281" spans="2:5">
      <c r="B281" s="40" t="s">
        <v>108</v>
      </c>
      <c r="C281" s="40" t="s">
        <v>149</v>
      </c>
      <c r="D281" s="40">
        <v>2</v>
      </c>
      <c r="E281" s="40">
        <v>810</v>
      </c>
    </row>
    <row r="282" spans="2:5">
      <c r="B282" s="40" t="s">
        <v>83</v>
      </c>
      <c r="C282" s="40" t="s">
        <v>152</v>
      </c>
      <c r="D282" s="40">
        <v>4</v>
      </c>
      <c r="E282" s="40">
        <v>809.94</v>
      </c>
    </row>
    <row r="283" spans="2:5">
      <c r="B283" s="40" t="s">
        <v>83</v>
      </c>
      <c r="C283" s="40" t="s">
        <v>155</v>
      </c>
      <c r="D283" s="40">
        <v>2</v>
      </c>
      <c r="E283" s="40">
        <v>794.1</v>
      </c>
    </row>
    <row r="284" spans="2:5">
      <c r="B284" s="40" t="s">
        <v>114</v>
      </c>
      <c r="C284" s="40" t="s">
        <v>149</v>
      </c>
      <c r="D284" s="40">
        <v>1</v>
      </c>
      <c r="E284" s="40">
        <v>786</v>
      </c>
    </row>
    <row r="285" spans="2:5">
      <c r="B285" s="40" t="s">
        <v>68</v>
      </c>
      <c r="C285" s="40" t="s">
        <v>198</v>
      </c>
      <c r="D285" s="40">
        <v>1</v>
      </c>
      <c r="E285" s="40">
        <v>648.72</v>
      </c>
    </row>
    <row r="286" spans="2:5">
      <c r="B286" s="40" t="s">
        <v>68</v>
      </c>
      <c r="C286" s="40" t="s">
        <v>157</v>
      </c>
      <c r="D286" s="40">
        <v>1</v>
      </c>
      <c r="E286" s="40">
        <v>632.4</v>
      </c>
    </row>
    <row r="287" spans="2:5">
      <c r="B287" s="40" t="s">
        <v>108</v>
      </c>
      <c r="C287" s="40" t="s">
        <v>160</v>
      </c>
      <c r="D287" s="40">
        <v>2</v>
      </c>
      <c r="E287" s="40">
        <v>627</v>
      </c>
    </row>
    <row r="288" spans="2:5">
      <c r="B288" s="40" t="s">
        <v>114</v>
      </c>
      <c r="C288" s="40" t="s">
        <v>198</v>
      </c>
      <c r="D288" s="40">
        <v>2</v>
      </c>
      <c r="E288" s="40">
        <v>578.4</v>
      </c>
    </row>
    <row r="289" spans="2:5">
      <c r="B289" s="40" t="s">
        <v>61</v>
      </c>
      <c r="C289" s="40" t="s">
        <v>157</v>
      </c>
      <c r="D289" s="40">
        <v>4</v>
      </c>
      <c r="E289" s="40">
        <v>570.5</v>
      </c>
    </row>
    <row r="290" spans="2:5">
      <c r="B290" s="40" t="s">
        <v>49</v>
      </c>
      <c r="C290" s="40" t="s">
        <v>203</v>
      </c>
      <c r="D290" s="40">
        <v>4</v>
      </c>
      <c r="E290" s="40">
        <v>549.75</v>
      </c>
    </row>
    <row r="291" spans="2:5">
      <c r="B291" s="40" t="s">
        <v>114</v>
      </c>
      <c r="C291" s="40" t="s">
        <v>157</v>
      </c>
      <c r="D291" s="40">
        <v>2</v>
      </c>
      <c r="E291" s="40">
        <v>548.25</v>
      </c>
    </row>
    <row r="292" spans="2:5">
      <c r="B292" s="40" t="s">
        <v>61</v>
      </c>
      <c r="C292" s="40" t="s">
        <v>203</v>
      </c>
      <c r="D292" s="40">
        <v>1</v>
      </c>
      <c r="E292" s="40">
        <v>390</v>
      </c>
    </row>
    <row r="293" spans="2:5">
      <c r="B293" s="40" t="s">
        <v>98</v>
      </c>
      <c r="C293" s="40" t="s">
        <v>149</v>
      </c>
      <c r="D293" s="40">
        <v>1</v>
      </c>
      <c r="E293" s="40">
        <v>340</v>
      </c>
    </row>
    <row r="294" spans="2:5">
      <c r="B294" s="40" t="s">
        <v>108</v>
      </c>
      <c r="C294" s="40" t="s">
        <v>198</v>
      </c>
      <c r="D294" s="40">
        <v>2</v>
      </c>
      <c r="E294" s="40">
        <v>306</v>
      </c>
    </row>
    <row r="295" spans="2:5">
      <c r="B295" s="40" t="s">
        <v>114</v>
      </c>
      <c r="C295" s="40" t="s">
        <v>178</v>
      </c>
      <c r="D295" s="40">
        <v>2</v>
      </c>
      <c r="E295" s="40">
        <v>280.14999999999998</v>
      </c>
    </row>
    <row r="296" spans="2:5">
      <c r="B296" s="40" t="s">
        <v>96</v>
      </c>
      <c r="C296" s="40" t="s">
        <v>160</v>
      </c>
      <c r="D296" s="40">
        <v>1</v>
      </c>
      <c r="E296" s="40">
        <v>210.5</v>
      </c>
    </row>
    <row r="297" spans="2:5">
      <c r="B297" s="40" t="s">
        <v>108</v>
      </c>
      <c r="C297" s="40" t="s">
        <v>178</v>
      </c>
      <c r="D297" s="40">
        <v>1</v>
      </c>
      <c r="E297" s="40">
        <v>187.5</v>
      </c>
    </row>
    <row r="298" spans="2:5">
      <c r="B298" s="40" t="s">
        <v>114</v>
      </c>
      <c r="C298" s="40" t="s">
        <v>155</v>
      </c>
      <c r="D298" s="40">
        <v>1</v>
      </c>
      <c r="E298" s="40">
        <v>164</v>
      </c>
    </row>
    <row r="299" spans="2:5">
      <c r="B299" s="40" t="s">
        <v>108</v>
      </c>
      <c r="C299" s="40" t="s">
        <v>157</v>
      </c>
      <c r="D299" s="40">
        <v>1</v>
      </c>
      <c r="E299" s="40">
        <v>159</v>
      </c>
    </row>
    <row r="300" spans="2:5">
      <c r="B300" s="40" t="s">
        <v>77</v>
      </c>
      <c r="C300" s="40" t="s">
        <v>203</v>
      </c>
      <c r="D300" s="40">
        <v>1</v>
      </c>
      <c r="E300" s="40">
        <v>99.75</v>
      </c>
    </row>
    <row r="301" spans="2:5">
      <c r="B301" s="40" t="s">
        <v>108</v>
      </c>
      <c r="C301" s="40" t="s">
        <v>155</v>
      </c>
      <c r="D301" s="40">
        <v>1</v>
      </c>
      <c r="E301" s="40">
        <v>22.35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3AE5A-653E-4881-826D-7E98A0000157}">
  <dimension ref="A33:K77"/>
  <sheetViews>
    <sheetView topLeftCell="A55" workbookViewId="0">
      <selection activeCell="D70" sqref="D70"/>
    </sheetView>
  </sheetViews>
  <sheetFormatPr defaultRowHeight="15"/>
  <cols>
    <col min="1" max="1" width="20.42578125" bestFit="1" customWidth="1"/>
    <col min="2" max="2" width="22.5703125" bestFit="1" customWidth="1"/>
    <col min="3" max="4" width="16.28515625" bestFit="1" customWidth="1"/>
    <col min="5" max="6" width="11.28515625" bestFit="1" customWidth="1"/>
    <col min="7" max="7" width="13.85546875" bestFit="1" customWidth="1"/>
    <col min="8" max="8" width="23.5703125" bestFit="1" customWidth="1"/>
  </cols>
  <sheetData>
    <row r="33" spans="1:8" ht="15.75" thickBot="1"/>
    <row r="34" spans="1:8" ht="15.75" thickBot="1">
      <c r="B34" s="15" t="s">
        <v>28</v>
      </c>
      <c r="G34" s="13" t="s">
        <v>129</v>
      </c>
      <c r="H34" t="s">
        <v>348</v>
      </c>
    </row>
    <row r="35" spans="1:8">
      <c r="A35" t="s">
        <v>340</v>
      </c>
      <c r="B35" t="s">
        <v>341</v>
      </c>
      <c r="C35" t="s">
        <v>342</v>
      </c>
      <c r="D35" t="s">
        <v>343</v>
      </c>
      <c r="G35" s="14" t="s">
        <v>346</v>
      </c>
      <c r="H35">
        <v>12.89</v>
      </c>
    </row>
    <row r="36" spans="1:8">
      <c r="A36" t="s">
        <v>344</v>
      </c>
      <c r="B36">
        <v>38</v>
      </c>
      <c r="C36">
        <v>6.89</v>
      </c>
      <c r="D36">
        <v>262</v>
      </c>
      <c r="G36" s="14" t="s">
        <v>345</v>
      </c>
      <c r="H36">
        <v>3.24</v>
      </c>
    </row>
    <row r="37" spans="1:8">
      <c r="A37" t="s">
        <v>345</v>
      </c>
      <c r="B37">
        <v>21</v>
      </c>
      <c r="C37">
        <v>3.24</v>
      </c>
      <c r="D37">
        <v>68</v>
      </c>
      <c r="G37" s="14" t="s">
        <v>344</v>
      </c>
      <c r="H37">
        <v>6.89</v>
      </c>
    </row>
    <row r="38" spans="1:8">
      <c r="A38" t="s">
        <v>346</v>
      </c>
      <c r="B38">
        <v>27</v>
      </c>
      <c r="C38">
        <v>12.89</v>
      </c>
      <c r="D38">
        <v>348</v>
      </c>
      <c r="G38" s="14" t="s">
        <v>347</v>
      </c>
      <c r="H38">
        <v>27.33</v>
      </c>
    </row>
    <row r="39" spans="1:8">
      <c r="A39" t="s">
        <v>347</v>
      </c>
      <c r="B39">
        <v>3</v>
      </c>
      <c r="C39">
        <v>27.33</v>
      </c>
      <c r="D39">
        <v>82</v>
      </c>
      <c r="G39" s="14" t="s">
        <v>130</v>
      </c>
      <c r="H39">
        <v>50.35</v>
      </c>
    </row>
    <row r="44" spans="1:8">
      <c r="A44" s="13" t="s">
        <v>129</v>
      </c>
      <c r="B44" t="s">
        <v>350</v>
      </c>
    </row>
    <row r="45" spans="1:8">
      <c r="A45" s="14" t="s">
        <v>346</v>
      </c>
      <c r="B45">
        <v>27</v>
      </c>
    </row>
    <row r="46" spans="1:8">
      <c r="A46" s="14" t="s">
        <v>345</v>
      </c>
      <c r="B46">
        <v>21</v>
      </c>
    </row>
    <row r="47" spans="1:8">
      <c r="A47" s="14" t="s">
        <v>344</v>
      </c>
      <c r="B47">
        <v>38</v>
      </c>
    </row>
    <row r="48" spans="1:8">
      <c r="A48" s="14" t="s">
        <v>347</v>
      </c>
      <c r="B48">
        <v>3</v>
      </c>
    </row>
    <row r="49" spans="1:2">
      <c r="A49" s="14" t="s">
        <v>130</v>
      </c>
      <c r="B49">
        <v>89</v>
      </c>
    </row>
    <row r="69" spans="1:11" ht="15.75" thickBot="1"/>
    <row r="70" spans="1:11" ht="15.75" thickBot="1">
      <c r="D70" s="19" t="s">
        <v>29</v>
      </c>
    </row>
    <row r="71" spans="1:11" ht="18.75">
      <c r="A71" s="41">
        <v>1</v>
      </c>
      <c r="B71" s="42" t="s">
        <v>351</v>
      </c>
      <c r="C71" s="42"/>
      <c r="D71" s="42"/>
      <c r="E71" s="42"/>
      <c r="F71" s="42"/>
      <c r="G71" s="42"/>
      <c r="H71" s="42"/>
      <c r="I71" s="42"/>
      <c r="J71" s="3"/>
      <c r="K71" s="4"/>
    </row>
    <row r="72" spans="1:11" ht="18.75">
      <c r="A72" s="43">
        <v>2</v>
      </c>
      <c r="B72" s="44" t="s">
        <v>352</v>
      </c>
      <c r="C72" s="44"/>
      <c r="D72" s="44"/>
      <c r="E72" s="44"/>
      <c r="F72" s="44"/>
      <c r="G72" s="44"/>
      <c r="H72" s="44"/>
      <c r="I72" s="44"/>
      <c r="J72" s="7"/>
      <c r="K72" s="8"/>
    </row>
    <row r="73" spans="1:11" ht="18.75">
      <c r="A73" s="43">
        <v>3</v>
      </c>
      <c r="B73" s="44" t="s">
        <v>353</v>
      </c>
      <c r="C73" s="44"/>
      <c r="D73" s="44"/>
      <c r="E73" s="44"/>
      <c r="F73" s="44"/>
      <c r="G73" s="44"/>
      <c r="H73" s="44"/>
      <c r="I73" s="44"/>
      <c r="J73" s="7"/>
      <c r="K73" s="8"/>
    </row>
    <row r="74" spans="1:11" ht="18.75">
      <c r="A74" s="43">
        <v>4</v>
      </c>
      <c r="B74" s="44" t="s">
        <v>354</v>
      </c>
      <c r="C74" s="44"/>
      <c r="D74" s="44"/>
      <c r="E74" s="44"/>
      <c r="F74" s="44"/>
      <c r="G74" s="44"/>
      <c r="H74" s="44"/>
      <c r="I74" s="44"/>
      <c r="J74" s="7"/>
      <c r="K74" s="8"/>
    </row>
    <row r="75" spans="1:11" ht="19.5" thickBot="1">
      <c r="A75" s="45"/>
      <c r="B75" s="46"/>
      <c r="C75" s="46"/>
      <c r="D75" s="46"/>
      <c r="E75" s="46"/>
      <c r="F75" s="46"/>
      <c r="G75" s="46"/>
      <c r="H75" s="46"/>
      <c r="I75" s="46"/>
      <c r="J75" s="11"/>
      <c r="K75" s="12"/>
    </row>
    <row r="77" spans="1:11">
      <c r="F77" s="47"/>
    </row>
  </sheetData>
  <pageMargins left="0.7" right="0.7" top="0.75" bottom="0.75" header="0.3" footer="0.3"/>
  <drawing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1E8DC-EF8E-45B0-AEB4-8425863C090C}">
  <dimension ref="B2:L68"/>
  <sheetViews>
    <sheetView topLeftCell="A58" workbookViewId="0">
      <selection activeCell="E64" sqref="E64"/>
    </sheetView>
  </sheetViews>
  <sheetFormatPr defaultRowHeight="15"/>
  <cols>
    <col min="2" max="2" width="23" bestFit="1" customWidth="1"/>
    <col min="3" max="3" width="22.85546875" bestFit="1" customWidth="1"/>
    <col min="4" max="4" width="14" bestFit="1" customWidth="1"/>
    <col min="5" max="5" width="19.85546875" bestFit="1" customWidth="1"/>
    <col min="6" max="6" width="19.7109375" bestFit="1" customWidth="1"/>
    <col min="7" max="8" width="11.28515625" bestFit="1" customWidth="1"/>
    <col min="11" max="11" width="13.140625" bestFit="1" customWidth="1"/>
    <col min="12" max="12" width="23" bestFit="1" customWidth="1"/>
  </cols>
  <sheetData>
    <row r="2" spans="11:12">
      <c r="K2" s="13" t="s">
        <v>129</v>
      </c>
      <c r="L2" t="s">
        <v>365</v>
      </c>
    </row>
    <row r="3" spans="11:12">
      <c r="K3" s="14" t="s">
        <v>364</v>
      </c>
      <c r="L3">
        <v>1</v>
      </c>
    </row>
    <row r="4" spans="11:12">
      <c r="K4" s="14" t="s">
        <v>363</v>
      </c>
      <c r="L4">
        <v>1</v>
      </c>
    </row>
    <row r="5" spans="11:12">
      <c r="K5" s="14" t="s">
        <v>359</v>
      </c>
      <c r="L5">
        <v>6</v>
      </c>
    </row>
    <row r="6" spans="11:12">
      <c r="K6" s="14" t="s">
        <v>361</v>
      </c>
      <c r="L6">
        <v>1</v>
      </c>
    </row>
    <row r="7" spans="11:12">
      <c r="K7" s="14" t="s">
        <v>130</v>
      </c>
      <c r="L7">
        <v>9</v>
      </c>
    </row>
    <row r="20" spans="2:12" ht="15.75" thickBot="1"/>
    <row r="21" spans="2:12" ht="15.75" thickBot="1">
      <c r="C21" s="15" t="s">
        <v>28</v>
      </c>
    </row>
    <row r="22" spans="2:12">
      <c r="B22" t="s">
        <v>355</v>
      </c>
      <c r="C22" t="s">
        <v>356</v>
      </c>
      <c r="D22" t="s">
        <v>357</v>
      </c>
      <c r="E22" t="s">
        <v>358</v>
      </c>
    </row>
    <row r="23" spans="2:12">
      <c r="B23" t="s">
        <v>38</v>
      </c>
      <c r="C23" t="s">
        <v>39</v>
      </c>
      <c r="D23" t="s">
        <v>359</v>
      </c>
      <c r="E23">
        <v>3</v>
      </c>
    </row>
    <row r="24" spans="2:12">
      <c r="B24" t="s">
        <v>43</v>
      </c>
      <c r="C24" t="s">
        <v>122</v>
      </c>
      <c r="D24" t="s">
        <v>359</v>
      </c>
      <c r="E24">
        <v>1</v>
      </c>
    </row>
    <row r="25" spans="2:12">
      <c r="B25" t="s">
        <v>43</v>
      </c>
      <c r="C25" t="s">
        <v>360</v>
      </c>
      <c r="D25" t="s">
        <v>361</v>
      </c>
      <c r="E25">
        <v>1</v>
      </c>
    </row>
    <row r="26" spans="2:12">
      <c r="B26" t="s">
        <v>43</v>
      </c>
      <c r="C26" t="s">
        <v>362</v>
      </c>
      <c r="D26" t="s">
        <v>359</v>
      </c>
      <c r="E26">
        <v>1</v>
      </c>
    </row>
    <row r="27" spans="2:12">
      <c r="B27" t="s">
        <v>38</v>
      </c>
      <c r="C27" t="s">
        <v>39</v>
      </c>
      <c r="D27" t="s">
        <v>363</v>
      </c>
      <c r="E27">
        <v>1</v>
      </c>
      <c r="K27" s="13" t="s">
        <v>129</v>
      </c>
      <c r="L27" t="s">
        <v>365</v>
      </c>
    </row>
    <row r="28" spans="2:12">
      <c r="B28" t="s">
        <v>43</v>
      </c>
      <c r="C28" t="s">
        <v>73</v>
      </c>
      <c r="D28" t="s">
        <v>359</v>
      </c>
      <c r="E28">
        <v>1</v>
      </c>
      <c r="K28" s="14" t="s">
        <v>122</v>
      </c>
      <c r="L28">
        <v>1</v>
      </c>
    </row>
    <row r="29" spans="2:12">
      <c r="B29" t="s">
        <v>43</v>
      </c>
      <c r="C29" t="s">
        <v>73</v>
      </c>
      <c r="D29" t="s">
        <v>364</v>
      </c>
      <c r="E29">
        <v>1</v>
      </c>
      <c r="K29" s="14" t="s">
        <v>39</v>
      </c>
      <c r="L29">
        <v>4</v>
      </c>
    </row>
    <row r="30" spans="2:12">
      <c r="K30" s="14" t="s">
        <v>362</v>
      </c>
      <c r="L30">
        <v>1</v>
      </c>
    </row>
    <row r="31" spans="2:12">
      <c r="K31" s="14" t="s">
        <v>73</v>
      </c>
      <c r="L31">
        <v>2</v>
      </c>
    </row>
    <row r="32" spans="2:12">
      <c r="K32" s="14" t="s">
        <v>360</v>
      </c>
      <c r="L32">
        <v>1</v>
      </c>
    </row>
    <row r="33" spans="2:12">
      <c r="B33" s="13" t="s">
        <v>365</v>
      </c>
      <c r="C33" s="13" t="s">
        <v>349</v>
      </c>
      <c r="K33" s="14" t="s">
        <v>130</v>
      </c>
      <c r="L33">
        <v>9</v>
      </c>
    </row>
    <row r="34" spans="2:12">
      <c r="B34" s="13" t="s">
        <v>129</v>
      </c>
      <c r="C34" t="s">
        <v>364</v>
      </c>
      <c r="D34" t="s">
        <v>363</v>
      </c>
      <c r="E34" t="s">
        <v>359</v>
      </c>
      <c r="F34" t="s">
        <v>361</v>
      </c>
      <c r="G34" t="s">
        <v>130</v>
      </c>
    </row>
    <row r="35" spans="2:12">
      <c r="B35" s="14" t="s">
        <v>122</v>
      </c>
      <c r="E35">
        <v>1</v>
      </c>
      <c r="G35">
        <v>1</v>
      </c>
    </row>
    <row r="36" spans="2:12">
      <c r="B36" s="14" t="s">
        <v>39</v>
      </c>
      <c r="D36">
        <v>1</v>
      </c>
      <c r="E36">
        <v>3</v>
      </c>
      <c r="G36">
        <v>4</v>
      </c>
    </row>
    <row r="37" spans="2:12">
      <c r="B37" s="14" t="s">
        <v>362</v>
      </c>
      <c r="E37">
        <v>1</v>
      </c>
      <c r="G37">
        <v>1</v>
      </c>
    </row>
    <row r="38" spans="2:12">
      <c r="B38" s="14" t="s">
        <v>73</v>
      </c>
      <c r="C38">
        <v>1</v>
      </c>
      <c r="E38">
        <v>1</v>
      </c>
      <c r="G38">
        <v>2</v>
      </c>
    </row>
    <row r="39" spans="2:12">
      <c r="B39" s="14" t="s">
        <v>360</v>
      </c>
      <c r="F39">
        <v>1</v>
      </c>
      <c r="G39">
        <v>1</v>
      </c>
    </row>
    <row r="40" spans="2:12">
      <c r="B40" s="14" t="s">
        <v>130</v>
      </c>
      <c r="C40">
        <v>1</v>
      </c>
      <c r="D40">
        <v>1</v>
      </c>
      <c r="E40">
        <v>6</v>
      </c>
      <c r="F40">
        <v>1</v>
      </c>
      <c r="G40">
        <v>9</v>
      </c>
    </row>
    <row r="63" spans="5:5" ht="15.75" thickBot="1"/>
    <row r="64" spans="5:5" ht="15.75" thickBot="1">
      <c r="E64" s="19" t="s">
        <v>29</v>
      </c>
    </row>
    <row r="65" spans="2:11" ht="18.75">
      <c r="B65" s="48">
        <v>1</v>
      </c>
      <c r="C65" s="49" t="s">
        <v>366</v>
      </c>
      <c r="D65" s="49"/>
      <c r="E65" s="49"/>
      <c r="F65" s="49"/>
      <c r="G65" s="49"/>
      <c r="H65" s="21"/>
      <c r="I65" s="21"/>
      <c r="J65" s="29"/>
      <c r="K65" s="30"/>
    </row>
    <row r="66" spans="2:11" ht="18.75">
      <c r="B66" s="50">
        <v>2</v>
      </c>
      <c r="C66" s="51" t="s">
        <v>367</v>
      </c>
      <c r="D66" s="51"/>
      <c r="E66" s="51"/>
      <c r="F66" s="51"/>
      <c r="G66" s="51"/>
      <c r="H66" s="6"/>
      <c r="I66" s="6"/>
      <c r="J66" s="31"/>
      <c r="K66" s="32"/>
    </row>
    <row r="67" spans="2:11" ht="18.75">
      <c r="B67" s="50">
        <v>3</v>
      </c>
      <c r="C67" s="51" t="s">
        <v>368</v>
      </c>
      <c r="D67" s="51"/>
      <c r="E67" s="51"/>
      <c r="F67" s="51"/>
      <c r="G67" s="51"/>
      <c r="H67" s="6"/>
      <c r="I67" s="6"/>
      <c r="J67" s="31"/>
      <c r="K67" s="32"/>
    </row>
    <row r="68" spans="2:11" ht="19.5" thickBot="1">
      <c r="B68" s="52"/>
      <c r="C68" s="53"/>
      <c r="D68" s="53"/>
      <c r="E68" s="53"/>
      <c r="F68" s="53"/>
      <c r="G68" s="53"/>
      <c r="H68" s="27"/>
      <c r="I68" s="27"/>
      <c r="J68" s="34"/>
      <c r="K68" s="35"/>
    </row>
  </sheetData>
  <pageMargins left="0.7" right="0.7" top="0.75" bottom="0.75" header="0.3" footer="0.3"/>
  <drawing r:id="rId4"/>
  <tableParts count="1"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96447-CA7C-4C01-BE48-08793FC07A31}">
  <dimension ref="A19:P65"/>
  <sheetViews>
    <sheetView topLeftCell="A46" workbookViewId="0">
      <selection activeCell="G60" sqref="G60"/>
    </sheetView>
  </sheetViews>
  <sheetFormatPr defaultRowHeight="15"/>
  <cols>
    <col min="2" max="2" width="22.85546875" bestFit="1" customWidth="1"/>
    <col min="3" max="3" width="19.7109375" bestFit="1" customWidth="1"/>
    <col min="4" max="4" width="11.7109375" bestFit="1" customWidth="1"/>
    <col min="7" max="7" width="13.140625" bestFit="1" customWidth="1"/>
    <col min="8" max="8" width="24.42578125" bestFit="1" customWidth="1"/>
  </cols>
  <sheetData>
    <row r="19" spans="2:8" ht="15.75" thickBot="1"/>
    <row r="20" spans="2:8" ht="15.75" thickBot="1">
      <c r="C20" s="15" t="s">
        <v>28</v>
      </c>
    </row>
    <row r="21" spans="2:8">
      <c r="B21" t="s">
        <v>369</v>
      </c>
      <c r="C21" t="s">
        <v>357</v>
      </c>
      <c r="D21" t="s">
        <v>370</v>
      </c>
      <c r="G21" s="13" t="s">
        <v>129</v>
      </c>
      <c r="H21" t="s">
        <v>380</v>
      </c>
    </row>
    <row r="22" spans="2:8">
      <c r="B22" t="s">
        <v>371</v>
      </c>
      <c r="C22" t="s">
        <v>359</v>
      </c>
      <c r="D22">
        <v>1992</v>
      </c>
      <c r="G22" s="14">
        <v>1992</v>
      </c>
      <c r="H22">
        <v>3</v>
      </c>
    </row>
    <row r="23" spans="2:8">
      <c r="B23" t="s">
        <v>372</v>
      </c>
      <c r="C23" t="s">
        <v>361</v>
      </c>
      <c r="D23">
        <v>1992</v>
      </c>
      <c r="G23" s="14">
        <v>1993</v>
      </c>
      <c r="H23">
        <v>3</v>
      </c>
    </row>
    <row r="24" spans="2:8">
      <c r="B24" t="s">
        <v>373</v>
      </c>
      <c r="C24" t="s">
        <v>359</v>
      </c>
      <c r="D24">
        <v>1992</v>
      </c>
      <c r="G24" s="14">
        <v>1994</v>
      </c>
      <c r="H24">
        <v>3</v>
      </c>
    </row>
    <row r="25" spans="2:8">
      <c r="B25" t="s">
        <v>374</v>
      </c>
      <c r="C25" t="s">
        <v>359</v>
      </c>
      <c r="D25">
        <v>1993</v>
      </c>
      <c r="G25" s="14" t="s">
        <v>130</v>
      </c>
      <c r="H25">
        <v>9</v>
      </c>
    </row>
    <row r="26" spans="2:8">
      <c r="B26" t="s">
        <v>375</v>
      </c>
      <c r="C26" t="s">
        <v>363</v>
      </c>
      <c r="D26">
        <v>1993</v>
      </c>
    </row>
    <row r="27" spans="2:8">
      <c r="B27" t="s">
        <v>376</v>
      </c>
      <c r="C27" t="s">
        <v>359</v>
      </c>
      <c r="D27">
        <v>1993</v>
      </c>
    </row>
    <row r="28" spans="2:8">
      <c r="B28" t="s">
        <v>377</v>
      </c>
      <c r="C28" t="s">
        <v>359</v>
      </c>
      <c r="D28">
        <v>1994</v>
      </c>
    </row>
    <row r="29" spans="2:8">
      <c r="B29" t="s">
        <v>378</v>
      </c>
      <c r="C29" t="s">
        <v>364</v>
      </c>
      <c r="D29">
        <v>1994</v>
      </c>
    </row>
    <row r="30" spans="2:8">
      <c r="B30" t="s">
        <v>379</v>
      </c>
      <c r="C30" t="s">
        <v>359</v>
      </c>
      <c r="D30">
        <v>1994</v>
      </c>
    </row>
    <row r="34" spans="2:3">
      <c r="B34" s="13" t="s">
        <v>129</v>
      </c>
      <c r="C34" t="s">
        <v>381</v>
      </c>
    </row>
    <row r="35" spans="2:3">
      <c r="B35" s="14" t="s">
        <v>364</v>
      </c>
      <c r="C35">
        <v>1994</v>
      </c>
    </row>
    <row r="36" spans="2:3">
      <c r="B36" s="14" t="s">
        <v>363</v>
      </c>
      <c r="C36">
        <v>1993</v>
      </c>
    </row>
    <row r="37" spans="2:3">
      <c r="B37" s="14" t="s">
        <v>359</v>
      </c>
      <c r="C37">
        <v>1993</v>
      </c>
    </row>
    <row r="38" spans="2:3">
      <c r="B38" s="14" t="s">
        <v>361</v>
      </c>
      <c r="C38">
        <v>1992</v>
      </c>
    </row>
    <row r="39" spans="2:3">
      <c r="B39" s="14" t="s">
        <v>130</v>
      </c>
      <c r="C39">
        <v>1993</v>
      </c>
    </row>
    <row r="59" spans="1:16" ht="15.75" thickBot="1"/>
    <row r="60" spans="1:16" ht="15.75" thickBot="1">
      <c r="G60" s="19" t="s">
        <v>29</v>
      </c>
    </row>
    <row r="61" spans="1:16">
      <c r="A61" s="20">
        <v>1</v>
      </c>
      <c r="B61" s="21" t="s">
        <v>382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2"/>
    </row>
    <row r="62" spans="1:16">
      <c r="A62" s="23">
        <v>2</v>
      </c>
      <c r="B62" s="6" t="s">
        <v>383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24"/>
    </row>
    <row r="63" spans="1:16">
      <c r="A63" s="23">
        <v>3</v>
      </c>
      <c r="B63" s="6" t="s">
        <v>384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24"/>
    </row>
    <row r="64" spans="1:16">
      <c r="A64" s="23">
        <v>4</v>
      </c>
      <c r="B64" s="6" t="s">
        <v>385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24"/>
    </row>
    <row r="65" spans="1:16" ht="15.75" thickBot="1">
      <c r="A65" s="25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8"/>
    </row>
  </sheetData>
  <pageMargins left="0.7" right="0.7" top="0.75" bottom="0.75" header="0.3" footer="0.3"/>
  <drawing r:id="rId3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D76B0-F5DD-4679-B25C-4FD64F283945}">
  <dimension ref="A19:L51"/>
  <sheetViews>
    <sheetView topLeftCell="A37" workbookViewId="0">
      <selection activeCell="E48" sqref="E48"/>
    </sheetView>
  </sheetViews>
  <sheetFormatPr defaultRowHeight="15"/>
  <cols>
    <col min="2" max="2" width="22.85546875" bestFit="1" customWidth="1"/>
    <col min="3" max="3" width="17.42578125" bestFit="1" customWidth="1"/>
    <col min="4" max="4" width="11.7109375" bestFit="1" customWidth="1"/>
    <col min="5" max="5" width="11.85546875" bestFit="1" customWidth="1"/>
    <col min="6" max="6" width="12.5703125" bestFit="1" customWidth="1"/>
    <col min="7" max="7" width="11.140625" bestFit="1" customWidth="1"/>
    <col min="10" max="10" width="22.85546875" bestFit="1" customWidth="1"/>
    <col min="11" max="11" width="22" bestFit="1" customWidth="1"/>
    <col min="12" max="13" width="2" bestFit="1" customWidth="1"/>
    <col min="14" max="14" width="11.28515625" bestFit="1" customWidth="1"/>
  </cols>
  <sheetData>
    <row r="19" spans="2:11" ht="15.75" thickBot="1"/>
    <row r="20" spans="2:11" ht="21.75" thickBot="1">
      <c r="D20" s="54" t="s">
        <v>28</v>
      </c>
    </row>
    <row r="21" spans="2:11">
      <c r="B21" t="s">
        <v>357</v>
      </c>
      <c r="C21" t="s">
        <v>386</v>
      </c>
      <c r="D21" t="s">
        <v>387</v>
      </c>
      <c r="E21" t="s">
        <v>388</v>
      </c>
      <c r="F21" t="s">
        <v>389</v>
      </c>
      <c r="G21" t="s">
        <v>390</v>
      </c>
      <c r="J21" s="13" t="s">
        <v>129</v>
      </c>
      <c r="K21" t="s">
        <v>391</v>
      </c>
    </row>
    <row r="22" spans="2:11">
      <c r="B22" t="s">
        <v>359</v>
      </c>
      <c r="C22">
        <v>6</v>
      </c>
      <c r="D22">
        <v>2</v>
      </c>
      <c r="E22">
        <v>3</v>
      </c>
      <c r="F22">
        <v>1</v>
      </c>
      <c r="G22">
        <v>0</v>
      </c>
      <c r="J22" s="14" t="s">
        <v>364</v>
      </c>
      <c r="K22">
        <v>1</v>
      </c>
    </row>
    <row r="23" spans="2:11">
      <c r="B23" t="s">
        <v>364</v>
      </c>
      <c r="C23">
        <v>1</v>
      </c>
      <c r="D23">
        <v>0</v>
      </c>
      <c r="E23">
        <v>1</v>
      </c>
      <c r="F23">
        <v>0</v>
      </c>
      <c r="G23">
        <v>0</v>
      </c>
      <c r="J23" s="14" t="s">
        <v>363</v>
      </c>
      <c r="K23">
        <v>1</v>
      </c>
    </row>
    <row r="24" spans="2:11">
      <c r="B24" t="s">
        <v>361</v>
      </c>
      <c r="C24">
        <v>1</v>
      </c>
      <c r="D24">
        <v>0</v>
      </c>
      <c r="E24">
        <v>0</v>
      </c>
      <c r="F24">
        <v>0</v>
      </c>
      <c r="G24">
        <v>1</v>
      </c>
      <c r="J24" s="14" t="s">
        <v>359</v>
      </c>
      <c r="K24">
        <v>6</v>
      </c>
    </row>
    <row r="25" spans="2:11">
      <c r="B25" t="s">
        <v>363</v>
      </c>
      <c r="C25">
        <v>1</v>
      </c>
      <c r="D25">
        <v>1</v>
      </c>
      <c r="E25">
        <v>0</v>
      </c>
      <c r="F25">
        <v>0</v>
      </c>
      <c r="G25">
        <v>0</v>
      </c>
      <c r="J25" s="14" t="s">
        <v>361</v>
      </c>
      <c r="K25">
        <v>1</v>
      </c>
    </row>
    <row r="26" spans="2:11">
      <c r="J26" s="14" t="s">
        <v>130</v>
      </c>
      <c r="K26">
        <v>9</v>
      </c>
    </row>
    <row r="47" spans="5:5" ht="15.75" thickBot="1"/>
    <row r="48" spans="5:5" ht="15.75" thickBot="1">
      <c r="E48" s="19" t="s">
        <v>29</v>
      </c>
    </row>
    <row r="49" spans="1:12">
      <c r="A49" s="20">
        <v>1</v>
      </c>
      <c r="B49" s="21" t="s">
        <v>393</v>
      </c>
      <c r="C49" s="21"/>
      <c r="D49" s="21"/>
      <c r="E49" s="21"/>
      <c r="F49" s="21"/>
      <c r="G49" s="21"/>
      <c r="H49" s="21"/>
      <c r="I49" s="21"/>
      <c r="J49" s="21"/>
      <c r="K49" s="21"/>
      <c r="L49" s="22"/>
    </row>
    <row r="50" spans="1:12">
      <c r="A50" s="23">
        <v>2</v>
      </c>
      <c r="B50" s="6" t="s">
        <v>394</v>
      </c>
      <c r="C50" s="6"/>
      <c r="D50" s="6"/>
      <c r="E50" s="6"/>
      <c r="F50" s="6"/>
      <c r="G50" s="6"/>
      <c r="H50" s="6"/>
      <c r="I50" s="6"/>
      <c r="J50" s="6"/>
      <c r="K50" s="6"/>
      <c r="L50" s="24"/>
    </row>
    <row r="51" spans="1:12" ht="15.75" thickBot="1">
      <c r="A51" s="25">
        <v>3</v>
      </c>
      <c r="B51" s="27" t="s">
        <v>392</v>
      </c>
      <c r="C51" s="27"/>
      <c r="D51" s="27"/>
      <c r="E51" s="27"/>
      <c r="F51" s="27"/>
      <c r="G51" s="27"/>
      <c r="H51" s="27"/>
      <c r="I51" s="27"/>
      <c r="J51" s="27"/>
      <c r="K51" s="27"/>
      <c r="L51" s="28"/>
    </row>
  </sheetData>
  <pageMargins left="0.7" right="0.7" top="0.75" bottom="0.75" header="0.3" footer="0.3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C241B-9916-47B4-B919-AA5010D003B3}">
  <dimension ref="A26:N116"/>
  <sheetViews>
    <sheetView topLeftCell="A16" zoomScaleNormal="100" workbookViewId="0">
      <selection activeCell="C27" sqref="C27"/>
    </sheetView>
  </sheetViews>
  <sheetFormatPr defaultRowHeight="15"/>
  <cols>
    <col min="1" max="1" width="11.85546875" bestFit="1" customWidth="1"/>
    <col min="2" max="2" width="31.85546875" bestFit="1" customWidth="1"/>
    <col min="3" max="3" width="11.28515625" bestFit="1" customWidth="1"/>
    <col min="4" max="4" width="14" bestFit="1" customWidth="1"/>
    <col min="5" max="5" width="14.42578125" bestFit="1" customWidth="1"/>
    <col min="6" max="6" width="10.7109375" bestFit="1" customWidth="1"/>
    <col min="9" max="9" width="22.85546875" bestFit="1" customWidth="1"/>
    <col min="10" max="10" width="15.140625" bestFit="1" customWidth="1"/>
    <col min="11" max="11" width="16.28515625" bestFit="1" customWidth="1"/>
    <col min="12" max="13" width="8" bestFit="1" customWidth="1"/>
    <col min="14" max="16" width="7" bestFit="1" customWidth="1"/>
    <col min="17" max="17" width="5" bestFit="1" customWidth="1"/>
    <col min="18" max="18" width="8" bestFit="1" customWidth="1"/>
    <col min="19" max="19" width="5" bestFit="1" customWidth="1"/>
    <col min="20" max="20" width="8" bestFit="1" customWidth="1"/>
    <col min="21" max="21" width="7" bestFit="1" customWidth="1"/>
    <col min="22" max="22" width="8" bestFit="1" customWidth="1"/>
    <col min="23" max="23" width="7" bestFit="1" customWidth="1"/>
    <col min="24" max="25" width="8" bestFit="1" customWidth="1"/>
    <col min="26" max="26" width="7" bestFit="1" customWidth="1"/>
    <col min="27" max="28" width="8" bestFit="1" customWidth="1"/>
    <col min="29" max="29" width="7" bestFit="1" customWidth="1"/>
    <col min="30" max="31" width="8" bestFit="1" customWidth="1"/>
    <col min="32" max="32" width="5" bestFit="1" customWidth="1"/>
    <col min="33" max="33" width="7" bestFit="1" customWidth="1"/>
    <col min="34" max="34" width="8" bestFit="1" customWidth="1"/>
    <col min="35" max="35" width="5" bestFit="1" customWidth="1"/>
    <col min="36" max="36" width="7" bestFit="1" customWidth="1"/>
    <col min="37" max="40" width="8" bestFit="1" customWidth="1"/>
    <col min="41" max="41" width="7" bestFit="1" customWidth="1"/>
    <col min="42" max="42" width="5" bestFit="1" customWidth="1"/>
    <col min="43" max="43" width="8" bestFit="1" customWidth="1"/>
    <col min="44" max="45" width="5" bestFit="1" customWidth="1"/>
    <col min="46" max="46" width="8" bestFit="1" customWidth="1"/>
    <col min="47" max="47" width="7" bestFit="1" customWidth="1"/>
    <col min="48" max="48" width="8" bestFit="1" customWidth="1"/>
    <col min="49" max="51" width="9" bestFit="1" customWidth="1"/>
    <col min="52" max="52" width="6" bestFit="1" customWidth="1"/>
    <col min="53" max="53" width="8" bestFit="1" customWidth="1"/>
    <col min="54" max="54" width="9" bestFit="1" customWidth="1"/>
    <col min="55" max="55" width="8" bestFit="1" customWidth="1"/>
    <col min="56" max="56" width="9" bestFit="1" customWidth="1"/>
    <col min="57" max="57" width="6" bestFit="1" customWidth="1"/>
    <col min="58" max="58" width="9" bestFit="1" customWidth="1"/>
    <col min="59" max="59" width="8" bestFit="1" customWidth="1"/>
    <col min="60" max="63" width="9" bestFit="1" customWidth="1"/>
    <col min="64" max="64" width="8" bestFit="1" customWidth="1"/>
    <col min="65" max="65" width="9" bestFit="1" customWidth="1"/>
    <col min="66" max="66" width="8" bestFit="1" customWidth="1"/>
    <col min="67" max="73" width="9" bestFit="1" customWidth="1"/>
    <col min="74" max="74" width="8" bestFit="1" customWidth="1"/>
    <col min="75" max="75" width="9" bestFit="1" customWidth="1"/>
    <col min="76" max="76" width="8" bestFit="1" customWidth="1"/>
    <col min="77" max="84" width="9" bestFit="1" customWidth="1"/>
    <col min="85" max="85" width="8" bestFit="1" customWidth="1"/>
    <col min="86" max="86" width="9" bestFit="1" customWidth="1"/>
    <col min="87" max="87" width="10" bestFit="1" customWidth="1"/>
    <col min="88" max="88" width="11.28515625" bestFit="1" customWidth="1"/>
  </cols>
  <sheetData>
    <row r="26" spans="1:6" ht="15.75" thickBot="1"/>
    <row r="27" spans="1:6" ht="21.75" thickBot="1">
      <c r="C27" s="54" t="s">
        <v>28</v>
      </c>
    </row>
    <row r="28" spans="1:6">
      <c r="A28" t="s">
        <v>395</v>
      </c>
      <c r="B28" t="s">
        <v>396</v>
      </c>
      <c r="C28" t="s">
        <v>397</v>
      </c>
      <c r="D28" t="s">
        <v>398</v>
      </c>
      <c r="E28" t="s">
        <v>399</v>
      </c>
      <c r="F28" t="s">
        <v>400</v>
      </c>
    </row>
    <row r="29" spans="1:6">
      <c r="A29">
        <v>38</v>
      </c>
      <c r="B29" t="s">
        <v>401</v>
      </c>
      <c r="C29">
        <v>263.5</v>
      </c>
      <c r="D29">
        <v>17</v>
      </c>
      <c r="E29">
        <v>623</v>
      </c>
      <c r="F29">
        <v>141396.74</v>
      </c>
    </row>
    <row r="30" spans="1:6">
      <c r="A30">
        <v>29</v>
      </c>
      <c r="B30" t="s">
        <v>402</v>
      </c>
      <c r="C30">
        <v>123.79</v>
      </c>
      <c r="D30">
        <v>0</v>
      </c>
      <c r="E30">
        <v>746</v>
      </c>
      <c r="F30">
        <v>80368.67</v>
      </c>
    </row>
    <row r="31" spans="1:6">
      <c r="A31">
        <v>59</v>
      </c>
      <c r="B31" t="s">
        <v>403</v>
      </c>
      <c r="C31">
        <v>55</v>
      </c>
      <c r="D31">
        <v>79</v>
      </c>
      <c r="E31">
        <v>1496</v>
      </c>
      <c r="F31">
        <v>71155.7</v>
      </c>
    </row>
    <row r="32" spans="1:6">
      <c r="A32">
        <v>62</v>
      </c>
      <c r="B32" t="s">
        <v>404</v>
      </c>
      <c r="C32">
        <v>49.3</v>
      </c>
      <c r="D32">
        <v>17</v>
      </c>
      <c r="E32">
        <v>1083</v>
      </c>
      <c r="F32">
        <v>47234.97</v>
      </c>
    </row>
    <row r="33" spans="1:6">
      <c r="A33">
        <v>60</v>
      </c>
      <c r="B33" t="s">
        <v>405</v>
      </c>
      <c r="C33">
        <v>34</v>
      </c>
      <c r="D33">
        <v>19</v>
      </c>
      <c r="E33">
        <v>1577</v>
      </c>
      <c r="F33">
        <v>46825.48</v>
      </c>
    </row>
    <row r="34" spans="1:6">
      <c r="A34">
        <v>56</v>
      </c>
      <c r="B34" t="s">
        <v>406</v>
      </c>
      <c r="C34">
        <v>38</v>
      </c>
      <c r="D34">
        <v>21</v>
      </c>
      <c r="E34">
        <v>1263</v>
      </c>
      <c r="F34">
        <v>42593.06</v>
      </c>
    </row>
    <row r="35" spans="1:6">
      <c r="A35">
        <v>51</v>
      </c>
      <c r="B35" t="s">
        <v>407</v>
      </c>
      <c r="C35">
        <v>53</v>
      </c>
      <c r="D35">
        <v>20</v>
      </c>
      <c r="E35">
        <v>886</v>
      </c>
      <c r="F35">
        <v>41819.65</v>
      </c>
    </row>
    <row r="36" spans="1:6">
      <c r="A36">
        <v>17</v>
      </c>
      <c r="B36" t="s">
        <v>408</v>
      </c>
      <c r="C36">
        <v>39</v>
      </c>
      <c r="D36">
        <v>0</v>
      </c>
      <c r="E36">
        <v>978</v>
      </c>
      <c r="F36">
        <v>32698.38</v>
      </c>
    </row>
    <row r="37" spans="1:6">
      <c r="A37">
        <v>18</v>
      </c>
      <c r="B37" t="s">
        <v>409</v>
      </c>
      <c r="C37">
        <v>62.5</v>
      </c>
      <c r="D37">
        <v>42</v>
      </c>
      <c r="E37">
        <v>539</v>
      </c>
      <c r="F37">
        <v>29171.88</v>
      </c>
    </row>
    <row r="38" spans="1:6">
      <c r="A38">
        <v>28</v>
      </c>
      <c r="B38" t="s">
        <v>410</v>
      </c>
      <c r="C38">
        <v>45.6</v>
      </c>
      <c r="D38">
        <v>26</v>
      </c>
      <c r="E38">
        <v>640</v>
      </c>
      <c r="F38">
        <v>25696.639999999999</v>
      </c>
    </row>
    <row r="39" spans="1:6">
      <c r="A39">
        <v>72</v>
      </c>
      <c r="B39" t="s">
        <v>411</v>
      </c>
      <c r="C39">
        <v>34.799999999999997</v>
      </c>
      <c r="D39">
        <v>14</v>
      </c>
      <c r="E39">
        <v>806</v>
      </c>
      <c r="F39">
        <v>24900.13</v>
      </c>
    </row>
    <row r="40" spans="1:6">
      <c r="A40">
        <v>43</v>
      </c>
      <c r="B40" t="s">
        <v>412</v>
      </c>
      <c r="C40">
        <v>46</v>
      </c>
      <c r="D40">
        <v>17</v>
      </c>
      <c r="E40">
        <v>580</v>
      </c>
      <c r="F40">
        <v>23526.7</v>
      </c>
    </row>
    <row r="41" spans="1:6">
      <c r="A41">
        <v>20</v>
      </c>
      <c r="B41" t="s">
        <v>413</v>
      </c>
      <c r="C41">
        <v>81</v>
      </c>
      <c r="D41">
        <v>40</v>
      </c>
      <c r="E41">
        <v>313</v>
      </c>
      <c r="F41">
        <v>22563.360000000001</v>
      </c>
    </row>
    <row r="42" spans="1:6">
      <c r="A42">
        <v>7</v>
      </c>
      <c r="B42" t="s">
        <v>414</v>
      </c>
      <c r="C42">
        <v>30</v>
      </c>
      <c r="D42">
        <v>15</v>
      </c>
      <c r="E42">
        <v>763</v>
      </c>
      <c r="F42">
        <v>22044.3</v>
      </c>
    </row>
    <row r="43" spans="1:6">
      <c r="A43">
        <v>64</v>
      </c>
      <c r="B43" t="s">
        <v>415</v>
      </c>
      <c r="C43">
        <v>33.25</v>
      </c>
      <c r="D43">
        <v>22</v>
      </c>
      <c r="E43">
        <v>740</v>
      </c>
      <c r="F43">
        <v>21957.97</v>
      </c>
    </row>
    <row r="44" spans="1:6">
      <c r="A44">
        <v>69</v>
      </c>
      <c r="B44" t="s">
        <v>416</v>
      </c>
      <c r="C44">
        <v>36</v>
      </c>
      <c r="D44">
        <v>26</v>
      </c>
      <c r="E44">
        <v>714</v>
      </c>
      <c r="F44">
        <v>21942.36</v>
      </c>
    </row>
    <row r="45" spans="1:6">
      <c r="A45">
        <v>10</v>
      </c>
      <c r="B45" t="s">
        <v>417</v>
      </c>
      <c r="C45">
        <v>31</v>
      </c>
      <c r="D45">
        <v>31</v>
      </c>
      <c r="E45">
        <v>742</v>
      </c>
      <c r="F45">
        <v>20867.34</v>
      </c>
    </row>
    <row r="46" spans="1:6">
      <c r="A46">
        <v>53</v>
      </c>
      <c r="B46" t="s">
        <v>418</v>
      </c>
      <c r="C46">
        <v>32.799999999999997</v>
      </c>
      <c r="D46">
        <v>0</v>
      </c>
      <c r="E46">
        <v>722</v>
      </c>
      <c r="F46">
        <v>20574.169999999998</v>
      </c>
    </row>
    <row r="47" spans="1:6">
      <c r="A47">
        <v>26</v>
      </c>
      <c r="B47" t="s">
        <v>419</v>
      </c>
      <c r="C47">
        <v>31.23</v>
      </c>
      <c r="D47">
        <v>15</v>
      </c>
      <c r="E47">
        <v>753</v>
      </c>
      <c r="F47">
        <v>19849.14</v>
      </c>
    </row>
    <row r="48" spans="1:6">
      <c r="A48">
        <v>71</v>
      </c>
      <c r="B48" t="s">
        <v>420</v>
      </c>
      <c r="C48">
        <v>21.5</v>
      </c>
      <c r="D48">
        <v>26</v>
      </c>
      <c r="E48">
        <v>1057</v>
      </c>
      <c r="F48">
        <v>19551.03</v>
      </c>
    </row>
    <row r="49" spans="1:14" ht="15.75" thickBot="1">
      <c r="A49">
        <v>40</v>
      </c>
      <c r="B49" t="s">
        <v>421</v>
      </c>
      <c r="C49">
        <v>18.399999999999999</v>
      </c>
      <c r="D49">
        <v>123</v>
      </c>
      <c r="E49">
        <v>1103</v>
      </c>
      <c r="F49">
        <v>17910.63</v>
      </c>
    </row>
    <row r="50" spans="1:14" ht="15.75" thickBot="1">
      <c r="A50">
        <v>55</v>
      </c>
      <c r="B50" t="s">
        <v>422</v>
      </c>
      <c r="C50">
        <v>24</v>
      </c>
      <c r="D50">
        <v>115</v>
      </c>
      <c r="E50">
        <v>903</v>
      </c>
      <c r="F50">
        <v>17426.400000000001</v>
      </c>
      <c r="J50" s="55" t="s">
        <v>29</v>
      </c>
    </row>
    <row r="51" spans="1:14">
      <c r="A51">
        <v>16</v>
      </c>
      <c r="B51" t="s">
        <v>423</v>
      </c>
      <c r="C51">
        <v>17.45</v>
      </c>
      <c r="D51">
        <v>29</v>
      </c>
      <c r="E51">
        <v>1158</v>
      </c>
      <c r="F51">
        <v>17215.78</v>
      </c>
      <c r="H51" s="20">
        <v>1</v>
      </c>
      <c r="I51" s="21" t="s">
        <v>479</v>
      </c>
      <c r="J51" s="21"/>
      <c r="K51" s="21"/>
      <c r="L51" s="21"/>
      <c r="M51" s="21"/>
      <c r="N51" s="22"/>
    </row>
    <row r="52" spans="1:14">
      <c r="A52">
        <v>63</v>
      </c>
      <c r="B52" t="s">
        <v>424</v>
      </c>
      <c r="C52">
        <v>43.9</v>
      </c>
      <c r="D52">
        <v>24</v>
      </c>
      <c r="E52">
        <v>445</v>
      </c>
      <c r="F52">
        <v>16701.099999999999</v>
      </c>
      <c r="H52" s="23">
        <v>2</v>
      </c>
      <c r="I52" s="6" t="s">
        <v>480</v>
      </c>
      <c r="J52" s="6"/>
      <c r="K52" s="6"/>
      <c r="L52" s="6"/>
      <c r="M52" s="6"/>
      <c r="N52" s="24"/>
    </row>
    <row r="53" spans="1:14" ht="15.75" thickBot="1">
      <c r="A53">
        <v>2</v>
      </c>
      <c r="B53" t="s">
        <v>425</v>
      </c>
      <c r="C53">
        <v>19</v>
      </c>
      <c r="D53">
        <v>17</v>
      </c>
      <c r="E53">
        <v>1057</v>
      </c>
      <c r="F53">
        <v>16355.96</v>
      </c>
      <c r="H53" s="25">
        <v>3</v>
      </c>
      <c r="I53" s="27" t="s">
        <v>481</v>
      </c>
      <c r="J53" s="27"/>
      <c r="K53" s="27"/>
      <c r="L53" s="27"/>
      <c r="M53" s="27"/>
      <c r="N53" s="28"/>
    </row>
    <row r="54" spans="1:14">
      <c r="A54">
        <v>76</v>
      </c>
      <c r="B54" t="s">
        <v>426</v>
      </c>
      <c r="C54">
        <v>18</v>
      </c>
      <c r="D54">
        <v>57</v>
      </c>
      <c r="E54">
        <v>981</v>
      </c>
      <c r="F54">
        <v>15760.44</v>
      </c>
    </row>
    <row r="55" spans="1:14">
      <c r="A55">
        <v>27</v>
      </c>
      <c r="B55" t="s">
        <v>427</v>
      </c>
      <c r="C55">
        <v>43.9</v>
      </c>
      <c r="D55">
        <v>49</v>
      </c>
      <c r="E55">
        <v>365</v>
      </c>
      <c r="F55">
        <v>15099.88</v>
      </c>
    </row>
    <row r="56" spans="1:14">
      <c r="A56">
        <v>31</v>
      </c>
      <c r="B56" t="s">
        <v>428</v>
      </c>
      <c r="C56">
        <v>12.5</v>
      </c>
      <c r="D56">
        <v>0</v>
      </c>
      <c r="E56">
        <v>1397</v>
      </c>
      <c r="F56">
        <v>14920.88</v>
      </c>
      <c r="I56" s="13" t="s">
        <v>129</v>
      </c>
      <c r="J56" t="s">
        <v>478</v>
      </c>
    </row>
    <row r="57" spans="1:14">
      <c r="A57">
        <v>61</v>
      </c>
      <c r="B57" t="s">
        <v>429</v>
      </c>
      <c r="C57">
        <v>28.5</v>
      </c>
      <c r="D57">
        <v>113</v>
      </c>
      <c r="E57">
        <v>603</v>
      </c>
      <c r="F57">
        <v>14352.6</v>
      </c>
      <c r="I57" s="14" t="s">
        <v>408</v>
      </c>
      <c r="J57">
        <v>32698.38</v>
      </c>
    </row>
    <row r="58" spans="1:14">
      <c r="A58">
        <v>65</v>
      </c>
      <c r="B58" t="s">
        <v>430</v>
      </c>
      <c r="C58">
        <v>21.05</v>
      </c>
      <c r="D58">
        <v>76</v>
      </c>
      <c r="E58">
        <v>745</v>
      </c>
      <c r="F58">
        <v>13869.89</v>
      </c>
      <c r="I58" s="14" t="s">
        <v>405</v>
      </c>
      <c r="J58">
        <v>46825.48</v>
      </c>
    </row>
    <row r="59" spans="1:14">
      <c r="A59">
        <v>35</v>
      </c>
      <c r="B59" t="s">
        <v>431</v>
      </c>
      <c r="C59">
        <v>18</v>
      </c>
      <c r="D59">
        <v>20</v>
      </c>
      <c r="E59">
        <v>883</v>
      </c>
      <c r="F59">
        <v>13644</v>
      </c>
      <c r="I59" s="14" t="s">
        <v>409</v>
      </c>
      <c r="J59">
        <v>29171.88</v>
      </c>
    </row>
    <row r="60" spans="1:14">
      <c r="A60">
        <v>36</v>
      </c>
      <c r="B60" t="s">
        <v>432</v>
      </c>
      <c r="C60">
        <v>19</v>
      </c>
      <c r="D60">
        <v>112</v>
      </c>
      <c r="E60">
        <v>805</v>
      </c>
      <c r="F60">
        <v>13458.46</v>
      </c>
      <c r="I60" s="14" t="s">
        <v>401</v>
      </c>
      <c r="J60">
        <v>141396.74</v>
      </c>
    </row>
    <row r="61" spans="1:14">
      <c r="A61">
        <v>30</v>
      </c>
      <c r="B61" t="s">
        <v>433</v>
      </c>
      <c r="C61">
        <v>25.89</v>
      </c>
      <c r="D61">
        <v>10</v>
      </c>
      <c r="E61">
        <v>612</v>
      </c>
      <c r="F61">
        <v>13424.2</v>
      </c>
      <c r="I61" s="14" t="s">
        <v>406</v>
      </c>
      <c r="J61">
        <v>42593.06</v>
      </c>
    </row>
    <row r="62" spans="1:14">
      <c r="A62">
        <v>11</v>
      </c>
      <c r="B62" t="s">
        <v>434</v>
      </c>
      <c r="C62">
        <v>21</v>
      </c>
      <c r="D62">
        <v>22</v>
      </c>
      <c r="E62">
        <v>706</v>
      </c>
      <c r="F62">
        <v>12901.77</v>
      </c>
      <c r="I62" s="14" t="s">
        <v>407</v>
      </c>
      <c r="J62">
        <v>41819.65</v>
      </c>
    </row>
    <row r="63" spans="1:14">
      <c r="A63">
        <v>1</v>
      </c>
      <c r="B63" t="s">
        <v>435</v>
      </c>
      <c r="C63">
        <v>18</v>
      </c>
      <c r="D63">
        <v>39</v>
      </c>
      <c r="E63">
        <v>828</v>
      </c>
      <c r="F63">
        <v>12788.1</v>
      </c>
      <c r="I63" s="14" t="s">
        <v>403</v>
      </c>
      <c r="J63">
        <v>71155.7</v>
      </c>
    </row>
    <row r="64" spans="1:14">
      <c r="A64">
        <v>8</v>
      </c>
      <c r="B64" t="s">
        <v>436</v>
      </c>
      <c r="C64">
        <v>40</v>
      </c>
      <c r="D64">
        <v>6</v>
      </c>
      <c r="E64">
        <v>372</v>
      </c>
      <c r="F64">
        <v>12772</v>
      </c>
      <c r="I64" s="14" t="s">
        <v>410</v>
      </c>
      <c r="J64">
        <v>25696.639999999999</v>
      </c>
    </row>
    <row r="65" spans="1:10">
      <c r="A65">
        <v>39</v>
      </c>
      <c r="B65" t="s">
        <v>437</v>
      </c>
      <c r="C65">
        <v>18</v>
      </c>
      <c r="D65">
        <v>69</v>
      </c>
      <c r="E65">
        <v>793</v>
      </c>
      <c r="F65">
        <v>12294.54</v>
      </c>
      <c r="I65" s="14" t="s">
        <v>404</v>
      </c>
      <c r="J65">
        <v>47234.97</v>
      </c>
    </row>
    <row r="66" spans="1:10">
      <c r="A66">
        <v>12</v>
      </c>
      <c r="B66" t="s">
        <v>438</v>
      </c>
      <c r="C66">
        <v>38</v>
      </c>
      <c r="D66">
        <v>86</v>
      </c>
      <c r="E66">
        <v>344</v>
      </c>
      <c r="F66">
        <v>12257.66</v>
      </c>
      <c r="I66" s="14" t="s">
        <v>402</v>
      </c>
      <c r="J66">
        <v>80368.67</v>
      </c>
    </row>
    <row r="67" spans="1:10">
      <c r="A67">
        <v>70</v>
      </c>
      <c r="B67" t="s">
        <v>439</v>
      </c>
      <c r="C67">
        <v>15</v>
      </c>
      <c r="D67">
        <v>15</v>
      </c>
      <c r="E67">
        <v>817</v>
      </c>
      <c r="F67">
        <v>10672.65</v>
      </c>
      <c r="I67" s="14" t="s">
        <v>130</v>
      </c>
      <c r="J67">
        <v>558961.17000000004</v>
      </c>
    </row>
    <row r="68" spans="1:10">
      <c r="A68">
        <v>44</v>
      </c>
      <c r="B68" t="s">
        <v>440</v>
      </c>
      <c r="C68">
        <v>19.45</v>
      </c>
      <c r="D68">
        <v>27</v>
      </c>
      <c r="E68">
        <v>601</v>
      </c>
      <c r="F68">
        <v>9915.9500000000007</v>
      </c>
    </row>
    <row r="69" spans="1:10">
      <c r="A69">
        <v>49</v>
      </c>
      <c r="B69" t="s">
        <v>441</v>
      </c>
      <c r="C69">
        <v>20</v>
      </c>
      <c r="D69">
        <v>10</v>
      </c>
      <c r="E69">
        <v>520</v>
      </c>
      <c r="F69">
        <v>9244.6</v>
      </c>
    </row>
    <row r="70" spans="1:10">
      <c r="A70">
        <v>77</v>
      </c>
      <c r="B70" t="s">
        <v>442</v>
      </c>
      <c r="C70">
        <v>13</v>
      </c>
      <c r="D70">
        <v>32</v>
      </c>
      <c r="E70">
        <v>791</v>
      </c>
      <c r="F70">
        <v>9171.6299999999992</v>
      </c>
    </row>
    <row r="71" spans="1:10">
      <c r="A71">
        <v>21</v>
      </c>
      <c r="B71" t="s">
        <v>443</v>
      </c>
      <c r="C71">
        <v>10</v>
      </c>
      <c r="D71">
        <v>3</v>
      </c>
      <c r="E71">
        <v>1016</v>
      </c>
      <c r="F71">
        <v>9104</v>
      </c>
    </row>
    <row r="72" spans="1:10">
      <c r="A72">
        <v>68</v>
      </c>
      <c r="B72" t="s">
        <v>444</v>
      </c>
      <c r="C72">
        <v>12.5</v>
      </c>
      <c r="D72">
        <v>6</v>
      </c>
      <c r="E72">
        <v>799</v>
      </c>
      <c r="F72">
        <v>8714</v>
      </c>
    </row>
    <row r="73" spans="1:10">
      <c r="A73">
        <v>41</v>
      </c>
      <c r="B73" t="s">
        <v>445</v>
      </c>
      <c r="C73">
        <v>9.65</v>
      </c>
      <c r="D73">
        <v>85</v>
      </c>
      <c r="E73">
        <v>981</v>
      </c>
      <c r="F73">
        <v>8680.35</v>
      </c>
    </row>
    <row r="74" spans="1:10">
      <c r="A74">
        <v>42</v>
      </c>
      <c r="B74" t="s">
        <v>446</v>
      </c>
      <c r="C74">
        <v>14</v>
      </c>
      <c r="D74">
        <v>26</v>
      </c>
      <c r="E74">
        <v>697</v>
      </c>
      <c r="F74">
        <v>8575</v>
      </c>
    </row>
    <row r="75" spans="1:10">
      <c r="A75">
        <v>4</v>
      </c>
      <c r="B75" t="s">
        <v>447</v>
      </c>
      <c r="C75">
        <v>22</v>
      </c>
      <c r="D75">
        <v>53</v>
      </c>
      <c r="E75">
        <v>453</v>
      </c>
      <c r="F75">
        <v>8567.9</v>
      </c>
    </row>
    <row r="76" spans="1:10">
      <c r="A76">
        <v>32</v>
      </c>
      <c r="B76" t="s">
        <v>448</v>
      </c>
      <c r="C76">
        <v>32</v>
      </c>
      <c r="D76">
        <v>9</v>
      </c>
      <c r="E76">
        <v>297</v>
      </c>
      <c r="F76">
        <v>8404.16</v>
      </c>
    </row>
    <row r="77" spans="1:10">
      <c r="A77">
        <v>75</v>
      </c>
      <c r="B77" t="s">
        <v>449</v>
      </c>
      <c r="C77">
        <v>7.75</v>
      </c>
      <c r="D77">
        <v>125</v>
      </c>
      <c r="E77">
        <v>1155</v>
      </c>
      <c r="F77">
        <v>8177.49</v>
      </c>
    </row>
    <row r="78" spans="1:10">
      <c r="A78">
        <v>14</v>
      </c>
      <c r="B78" t="s">
        <v>450</v>
      </c>
      <c r="C78">
        <v>23.25</v>
      </c>
      <c r="D78">
        <v>35</v>
      </c>
      <c r="E78">
        <v>404</v>
      </c>
      <c r="F78">
        <v>7991.49</v>
      </c>
    </row>
    <row r="79" spans="1:10">
      <c r="A79">
        <v>57</v>
      </c>
      <c r="B79" t="s">
        <v>451</v>
      </c>
      <c r="C79">
        <v>19.5</v>
      </c>
      <c r="D79">
        <v>36</v>
      </c>
      <c r="E79">
        <v>434</v>
      </c>
      <c r="F79">
        <v>7661.55</v>
      </c>
    </row>
    <row r="80" spans="1:10">
      <c r="A80">
        <v>9</v>
      </c>
      <c r="B80" t="s">
        <v>452</v>
      </c>
      <c r="C80">
        <v>97</v>
      </c>
      <c r="D80">
        <v>29</v>
      </c>
      <c r="E80">
        <v>95</v>
      </c>
      <c r="F80">
        <v>7226.5</v>
      </c>
    </row>
    <row r="81" spans="1:13">
      <c r="A81">
        <v>6</v>
      </c>
      <c r="B81" t="s">
        <v>453</v>
      </c>
      <c r="C81">
        <v>25</v>
      </c>
      <c r="D81">
        <v>120</v>
      </c>
      <c r="E81">
        <v>301</v>
      </c>
      <c r="F81">
        <v>7137</v>
      </c>
    </row>
    <row r="82" spans="1:13">
      <c r="A82">
        <v>22</v>
      </c>
      <c r="B82" t="s">
        <v>454</v>
      </c>
      <c r="C82">
        <v>21</v>
      </c>
      <c r="D82">
        <v>104</v>
      </c>
      <c r="E82">
        <v>348</v>
      </c>
      <c r="F82">
        <v>7122.36</v>
      </c>
    </row>
    <row r="83" spans="1:13">
      <c r="A83">
        <v>34</v>
      </c>
      <c r="B83" t="s">
        <v>455</v>
      </c>
      <c r="C83">
        <v>14</v>
      </c>
      <c r="D83">
        <v>111</v>
      </c>
      <c r="E83">
        <v>506</v>
      </c>
      <c r="F83">
        <v>6350.4</v>
      </c>
    </row>
    <row r="84" spans="1:13">
      <c r="A84">
        <v>46</v>
      </c>
      <c r="B84" t="s">
        <v>456</v>
      </c>
      <c r="C84">
        <v>12</v>
      </c>
      <c r="D84">
        <v>95</v>
      </c>
      <c r="E84">
        <v>548</v>
      </c>
      <c r="F84">
        <v>5883</v>
      </c>
    </row>
    <row r="85" spans="1:13">
      <c r="A85">
        <v>58</v>
      </c>
      <c r="B85" t="s">
        <v>457</v>
      </c>
      <c r="C85">
        <v>13.25</v>
      </c>
      <c r="D85">
        <v>62</v>
      </c>
      <c r="E85">
        <v>534</v>
      </c>
      <c r="F85">
        <v>5881.68</v>
      </c>
    </row>
    <row r="86" spans="1:13">
      <c r="A86">
        <v>19</v>
      </c>
      <c r="B86" t="s">
        <v>458</v>
      </c>
      <c r="C86">
        <v>9.1999999999999993</v>
      </c>
      <c r="D86">
        <v>25</v>
      </c>
      <c r="E86">
        <v>723</v>
      </c>
      <c r="F86">
        <v>5862.62</v>
      </c>
    </row>
    <row r="87" spans="1:13">
      <c r="A87">
        <v>5</v>
      </c>
      <c r="B87" t="s">
        <v>459</v>
      </c>
      <c r="C87">
        <v>21.35</v>
      </c>
      <c r="D87">
        <v>0</v>
      </c>
      <c r="E87">
        <v>298</v>
      </c>
      <c r="F87">
        <v>5347.2</v>
      </c>
    </row>
    <row r="88" spans="1:13">
      <c r="A88">
        <v>13</v>
      </c>
      <c r="B88" t="s">
        <v>460</v>
      </c>
      <c r="C88">
        <v>6</v>
      </c>
      <c r="D88">
        <v>24</v>
      </c>
      <c r="E88">
        <v>891</v>
      </c>
      <c r="F88">
        <v>4960.4399999999996</v>
      </c>
    </row>
    <row r="89" spans="1:13">
      <c r="A89">
        <v>54</v>
      </c>
      <c r="B89" t="s">
        <v>461</v>
      </c>
      <c r="C89">
        <v>7.45</v>
      </c>
      <c r="D89">
        <v>21</v>
      </c>
      <c r="E89">
        <v>755</v>
      </c>
      <c r="F89">
        <v>4728.24</v>
      </c>
    </row>
    <row r="90" spans="1:13">
      <c r="A90">
        <v>23</v>
      </c>
      <c r="B90" t="s">
        <v>462</v>
      </c>
      <c r="C90">
        <v>9</v>
      </c>
      <c r="D90">
        <v>61</v>
      </c>
      <c r="E90">
        <v>580</v>
      </c>
      <c r="F90">
        <v>4601.7</v>
      </c>
    </row>
    <row r="91" spans="1:13">
      <c r="A91">
        <v>24</v>
      </c>
      <c r="B91" t="s">
        <v>463</v>
      </c>
      <c r="C91">
        <v>4.5</v>
      </c>
      <c r="D91">
        <v>20</v>
      </c>
      <c r="E91">
        <v>1125</v>
      </c>
      <c r="F91">
        <v>4504.37</v>
      </c>
    </row>
    <row r="92" spans="1:13">
      <c r="A92">
        <v>45</v>
      </c>
      <c r="B92" t="s">
        <v>464</v>
      </c>
      <c r="C92">
        <v>9.5</v>
      </c>
      <c r="D92">
        <v>5</v>
      </c>
      <c r="E92">
        <v>508</v>
      </c>
      <c r="F92">
        <v>4338.18</v>
      </c>
    </row>
    <row r="93" spans="1:13">
      <c r="A93">
        <v>73</v>
      </c>
      <c r="B93" t="s">
        <v>465</v>
      </c>
      <c r="C93">
        <v>15</v>
      </c>
      <c r="D93">
        <v>101</v>
      </c>
      <c r="E93">
        <v>293</v>
      </c>
      <c r="F93">
        <v>3997.2</v>
      </c>
      <c r="H93" s="66" t="s">
        <v>482</v>
      </c>
      <c r="I93" s="66"/>
      <c r="J93" s="66"/>
      <c r="K93" s="66"/>
      <c r="L93" s="66"/>
      <c r="M93" s="66"/>
    </row>
    <row r="94" spans="1:13">
      <c r="A94">
        <v>47</v>
      </c>
      <c r="B94" t="s">
        <v>466</v>
      </c>
      <c r="C94">
        <v>9.5</v>
      </c>
      <c r="D94">
        <v>36</v>
      </c>
      <c r="E94">
        <v>485</v>
      </c>
      <c r="F94">
        <v>3958.08</v>
      </c>
    </row>
    <row r="95" spans="1:13">
      <c r="A95">
        <v>25</v>
      </c>
      <c r="B95" t="s">
        <v>467</v>
      </c>
      <c r="C95">
        <v>14</v>
      </c>
      <c r="D95">
        <v>76</v>
      </c>
      <c r="E95">
        <v>318</v>
      </c>
      <c r="F95">
        <v>3704.4</v>
      </c>
    </row>
    <row r="96" spans="1:13">
      <c r="A96">
        <v>50</v>
      </c>
      <c r="B96" t="s">
        <v>468</v>
      </c>
      <c r="C96">
        <v>16.25</v>
      </c>
      <c r="D96">
        <v>65</v>
      </c>
      <c r="E96">
        <v>235</v>
      </c>
      <c r="F96">
        <v>3437.69</v>
      </c>
    </row>
    <row r="97" spans="1:13">
      <c r="A97">
        <v>66</v>
      </c>
      <c r="B97" t="s">
        <v>469</v>
      </c>
      <c r="C97">
        <v>17</v>
      </c>
      <c r="D97">
        <v>4</v>
      </c>
      <c r="E97">
        <v>239</v>
      </c>
      <c r="F97">
        <v>3383</v>
      </c>
    </row>
    <row r="98" spans="1:13">
      <c r="A98">
        <v>52</v>
      </c>
      <c r="B98" t="s">
        <v>470</v>
      </c>
      <c r="C98">
        <v>7</v>
      </c>
      <c r="D98">
        <v>38</v>
      </c>
      <c r="E98">
        <v>500</v>
      </c>
      <c r="F98">
        <v>3232.95</v>
      </c>
    </row>
    <row r="99" spans="1:13">
      <c r="A99">
        <v>3</v>
      </c>
      <c r="B99" t="s">
        <v>471</v>
      </c>
      <c r="C99">
        <v>10</v>
      </c>
      <c r="D99">
        <v>13</v>
      </c>
      <c r="E99">
        <v>328</v>
      </c>
      <c r="F99">
        <v>3044</v>
      </c>
    </row>
    <row r="100" spans="1:13">
      <c r="A100">
        <v>37</v>
      </c>
      <c r="B100" t="s">
        <v>472</v>
      </c>
      <c r="C100">
        <v>26</v>
      </c>
      <c r="D100">
        <v>11</v>
      </c>
      <c r="E100">
        <v>125</v>
      </c>
      <c r="F100">
        <v>2688.4</v>
      </c>
    </row>
    <row r="101" spans="1:13">
      <c r="A101">
        <v>74</v>
      </c>
      <c r="B101" t="s">
        <v>473</v>
      </c>
      <c r="C101">
        <v>10</v>
      </c>
      <c r="D101">
        <v>4</v>
      </c>
      <c r="E101">
        <v>297</v>
      </c>
      <c r="F101">
        <v>2432.5</v>
      </c>
    </row>
    <row r="102" spans="1:13">
      <c r="A102">
        <v>67</v>
      </c>
      <c r="B102" t="s">
        <v>474</v>
      </c>
      <c r="C102">
        <v>14</v>
      </c>
      <c r="D102">
        <v>52</v>
      </c>
      <c r="E102">
        <v>184</v>
      </c>
      <c r="F102">
        <v>2396.8000000000002</v>
      </c>
    </row>
    <row r="103" spans="1:13">
      <c r="A103">
        <v>15</v>
      </c>
      <c r="B103" t="s">
        <v>475</v>
      </c>
      <c r="C103">
        <v>15.5</v>
      </c>
      <c r="D103">
        <v>39</v>
      </c>
      <c r="E103">
        <v>122</v>
      </c>
      <c r="F103">
        <v>1784.83</v>
      </c>
    </row>
    <row r="104" spans="1:13">
      <c r="A104">
        <v>33</v>
      </c>
      <c r="B104" t="s">
        <v>476</v>
      </c>
      <c r="C104">
        <v>2.5</v>
      </c>
      <c r="D104">
        <v>112</v>
      </c>
      <c r="E104">
        <v>755</v>
      </c>
      <c r="F104">
        <v>1648.13</v>
      </c>
    </row>
    <row r="105" spans="1:13">
      <c r="A105">
        <v>48</v>
      </c>
      <c r="B105" t="s">
        <v>477</v>
      </c>
      <c r="C105">
        <v>12.75</v>
      </c>
      <c r="D105">
        <v>15</v>
      </c>
      <c r="E105">
        <v>138</v>
      </c>
      <c r="F105">
        <v>1368.71</v>
      </c>
    </row>
    <row r="110" spans="1:13" ht="15.75" thickBot="1"/>
    <row r="111" spans="1:13" ht="15.75" thickBot="1">
      <c r="E111" s="19" t="s">
        <v>29</v>
      </c>
    </row>
    <row r="112" spans="1:13">
      <c r="A112" s="56">
        <v>1</v>
      </c>
      <c r="B112" s="57" t="s">
        <v>483</v>
      </c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8"/>
    </row>
    <row r="113" spans="1:13">
      <c r="A113" s="59">
        <v>2</v>
      </c>
      <c r="B113" s="60" t="s">
        <v>484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1"/>
    </row>
    <row r="114" spans="1:13">
      <c r="A114" s="59">
        <v>3</v>
      </c>
      <c r="B114" s="60" t="s">
        <v>485</v>
      </c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1"/>
    </row>
    <row r="115" spans="1:13">
      <c r="A115" s="59">
        <v>4</v>
      </c>
      <c r="B115" s="60" t="s">
        <v>486</v>
      </c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1"/>
    </row>
    <row r="116" spans="1:13" ht="15.75" thickBot="1">
      <c r="A116" s="62">
        <v>5</v>
      </c>
      <c r="B116" s="63" t="s">
        <v>487</v>
      </c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5"/>
    </row>
  </sheetData>
  <mergeCells count="1">
    <mergeCell ref="H93:M93"/>
  </mergeCells>
  <pageMargins left="0.7" right="0.7" top="0.75" bottom="0.75" header="0.3" footer="0.3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B6FBD-529E-4B63-9B7A-B976EF9BE8F4}">
  <dimension ref="B28:T805"/>
  <sheetViews>
    <sheetView topLeftCell="A61" workbookViewId="0">
      <selection activeCell="I72" sqref="I72"/>
    </sheetView>
  </sheetViews>
  <sheetFormatPr defaultRowHeight="15"/>
  <cols>
    <col min="2" max="2" width="31.85546875" bestFit="1" customWidth="1"/>
    <col min="3" max="3" width="15" bestFit="1" customWidth="1"/>
    <col min="4" max="4" width="15.85546875" bestFit="1" customWidth="1"/>
    <col min="7" max="7" width="13.140625" bestFit="1" customWidth="1"/>
    <col min="8" max="8" width="20.28515625" bestFit="1" customWidth="1"/>
    <col min="9" max="9" width="11.85546875" bestFit="1" customWidth="1"/>
    <col min="10" max="19" width="5" bestFit="1" customWidth="1"/>
    <col min="20" max="20" width="11.28515625" bestFit="1" customWidth="1"/>
    <col min="21" max="104" width="3" bestFit="1" customWidth="1"/>
    <col min="105" max="198" width="4" bestFit="1" customWidth="1"/>
    <col min="199" max="199" width="11.28515625" bestFit="1" customWidth="1"/>
  </cols>
  <sheetData>
    <row r="28" spans="2:8" ht="15.75" thickBot="1"/>
    <row r="29" spans="2:8" ht="21.75" thickBot="1">
      <c r="C29" s="54" t="s">
        <v>28</v>
      </c>
    </row>
    <row r="30" spans="2:8">
      <c r="B30" t="s">
        <v>396</v>
      </c>
      <c r="C30" t="s">
        <v>488</v>
      </c>
      <c r="D30" t="s">
        <v>489</v>
      </c>
    </row>
    <row r="31" spans="2:8">
      <c r="B31" t="s">
        <v>428</v>
      </c>
      <c r="C31">
        <v>1</v>
      </c>
      <c r="D31">
        <v>313</v>
      </c>
      <c r="G31" s="13" t="s">
        <v>129</v>
      </c>
      <c r="H31" t="s">
        <v>490</v>
      </c>
    </row>
    <row r="32" spans="2:8">
      <c r="B32" t="s">
        <v>407</v>
      </c>
      <c r="C32">
        <v>1</v>
      </c>
      <c r="D32">
        <v>206</v>
      </c>
      <c r="G32" s="14">
        <v>1</v>
      </c>
      <c r="H32">
        <v>4882</v>
      </c>
    </row>
    <row r="33" spans="2:8">
      <c r="B33" t="s">
        <v>422</v>
      </c>
      <c r="C33">
        <v>1</v>
      </c>
      <c r="D33">
        <v>195</v>
      </c>
      <c r="G33" s="14">
        <v>2</v>
      </c>
      <c r="H33">
        <v>5244</v>
      </c>
    </row>
    <row r="34" spans="2:8">
      <c r="B34" t="s">
        <v>420</v>
      </c>
      <c r="C34">
        <v>1</v>
      </c>
      <c r="D34">
        <v>189</v>
      </c>
      <c r="G34" s="14">
        <v>3</v>
      </c>
      <c r="H34">
        <v>5870</v>
      </c>
    </row>
    <row r="35" spans="2:8">
      <c r="B35" t="s">
        <v>437</v>
      </c>
      <c r="C35">
        <v>1</v>
      </c>
      <c r="D35">
        <v>168</v>
      </c>
      <c r="G35" s="14">
        <v>4</v>
      </c>
      <c r="H35">
        <v>5687</v>
      </c>
    </row>
    <row r="36" spans="2:8">
      <c r="B36" t="s">
        <v>444</v>
      </c>
      <c r="C36">
        <v>1</v>
      </c>
      <c r="D36">
        <v>141</v>
      </c>
      <c r="G36" s="14">
        <v>5</v>
      </c>
      <c r="H36">
        <v>7017</v>
      </c>
    </row>
    <row r="37" spans="2:8">
      <c r="B37" t="s">
        <v>406</v>
      </c>
      <c r="C37">
        <v>1</v>
      </c>
      <c r="D37">
        <v>138</v>
      </c>
      <c r="G37" s="14">
        <v>6</v>
      </c>
      <c r="H37">
        <v>2808</v>
      </c>
    </row>
    <row r="38" spans="2:8">
      <c r="B38" t="s">
        <v>473</v>
      </c>
      <c r="C38">
        <v>1</v>
      </c>
      <c r="D38">
        <v>134</v>
      </c>
      <c r="G38" s="14">
        <v>7</v>
      </c>
      <c r="H38">
        <v>1635</v>
      </c>
    </row>
    <row r="39" spans="2:8">
      <c r="B39" t="s">
        <v>418</v>
      </c>
      <c r="C39">
        <v>1</v>
      </c>
      <c r="D39">
        <v>130</v>
      </c>
      <c r="G39" s="14">
        <v>8</v>
      </c>
      <c r="H39">
        <v>3516</v>
      </c>
    </row>
    <row r="40" spans="2:8">
      <c r="B40" t="s">
        <v>411</v>
      </c>
      <c r="C40">
        <v>1</v>
      </c>
      <c r="D40">
        <v>127</v>
      </c>
      <c r="G40" s="14">
        <v>9</v>
      </c>
      <c r="H40">
        <v>3183</v>
      </c>
    </row>
    <row r="41" spans="2:8">
      <c r="B41" t="s">
        <v>405</v>
      </c>
      <c r="C41">
        <v>1</v>
      </c>
      <c r="D41">
        <v>126</v>
      </c>
      <c r="G41" s="14">
        <v>10</v>
      </c>
      <c r="H41">
        <v>3467</v>
      </c>
    </row>
    <row r="42" spans="2:8">
      <c r="B42" t="s">
        <v>449</v>
      </c>
      <c r="C42">
        <v>1</v>
      </c>
      <c r="D42">
        <v>117</v>
      </c>
      <c r="G42" s="14">
        <v>11</v>
      </c>
      <c r="H42">
        <v>4326</v>
      </c>
    </row>
    <row r="43" spans="2:8">
      <c r="B43" t="s">
        <v>425</v>
      </c>
      <c r="C43">
        <v>1</v>
      </c>
      <c r="D43">
        <v>110</v>
      </c>
      <c r="G43" s="14">
        <v>12</v>
      </c>
      <c r="H43">
        <v>3682</v>
      </c>
    </row>
    <row r="44" spans="2:8">
      <c r="B44" t="s">
        <v>408</v>
      </c>
      <c r="C44">
        <v>1</v>
      </c>
      <c r="D44">
        <v>108</v>
      </c>
      <c r="G44" s="14" t="s">
        <v>130</v>
      </c>
      <c r="H44">
        <v>51317</v>
      </c>
    </row>
    <row r="45" spans="2:8">
      <c r="B45" t="s">
        <v>402</v>
      </c>
      <c r="C45">
        <v>1</v>
      </c>
      <c r="D45">
        <v>106</v>
      </c>
    </row>
    <row r="46" spans="2:8">
      <c r="B46" t="s">
        <v>430</v>
      </c>
      <c r="C46">
        <v>1</v>
      </c>
      <c r="D46">
        <v>102</v>
      </c>
    </row>
    <row r="47" spans="2:8">
      <c r="B47" t="s">
        <v>439</v>
      </c>
      <c r="C47">
        <v>1</v>
      </c>
      <c r="D47">
        <v>95</v>
      </c>
    </row>
    <row r="48" spans="2:8">
      <c r="B48" t="s">
        <v>457</v>
      </c>
      <c r="C48">
        <v>1</v>
      </c>
      <c r="D48">
        <v>95</v>
      </c>
    </row>
    <row r="49" spans="2:4">
      <c r="B49" t="s">
        <v>419</v>
      </c>
      <c r="C49">
        <v>1</v>
      </c>
      <c r="D49">
        <v>91</v>
      </c>
    </row>
    <row r="50" spans="2:4">
      <c r="B50" t="s">
        <v>423</v>
      </c>
      <c r="C50">
        <v>1</v>
      </c>
      <c r="D50">
        <v>85</v>
      </c>
    </row>
    <row r="51" spans="2:4">
      <c r="B51" t="s">
        <v>431</v>
      </c>
      <c r="C51">
        <v>1</v>
      </c>
      <c r="D51">
        <v>85</v>
      </c>
    </row>
    <row r="52" spans="2:4">
      <c r="B52" t="s">
        <v>434</v>
      </c>
      <c r="C52">
        <v>1</v>
      </c>
      <c r="D52">
        <v>85</v>
      </c>
    </row>
    <row r="53" spans="2:4">
      <c r="B53" t="s">
        <v>445</v>
      </c>
      <c r="C53">
        <v>1</v>
      </c>
      <c r="D53">
        <v>82</v>
      </c>
    </row>
    <row r="54" spans="2:4">
      <c r="B54" t="s">
        <v>416</v>
      </c>
      <c r="C54">
        <v>1</v>
      </c>
      <c r="D54">
        <v>82</v>
      </c>
    </row>
    <row r="55" spans="2:4">
      <c r="B55" t="s">
        <v>403</v>
      </c>
      <c r="C55">
        <v>1</v>
      </c>
      <c r="D55">
        <v>77</v>
      </c>
    </row>
    <row r="56" spans="2:4">
      <c r="B56" t="s">
        <v>458</v>
      </c>
      <c r="C56">
        <v>1</v>
      </c>
      <c r="D56">
        <v>74</v>
      </c>
    </row>
    <row r="57" spans="2:4">
      <c r="B57" t="s">
        <v>456</v>
      </c>
      <c r="C57">
        <v>1</v>
      </c>
      <c r="D57">
        <v>73</v>
      </c>
    </row>
    <row r="58" spans="2:4">
      <c r="B58" t="s">
        <v>450</v>
      </c>
      <c r="C58">
        <v>1</v>
      </c>
      <c r="D58">
        <v>72</v>
      </c>
    </row>
    <row r="59" spans="2:4">
      <c r="B59" t="s">
        <v>404</v>
      </c>
      <c r="C59">
        <v>1</v>
      </c>
      <c r="D59">
        <v>72</v>
      </c>
    </row>
    <row r="60" spans="2:4">
      <c r="B60" t="s">
        <v>463</v>
      </c>
      <c r="C60">
        <v>1</v>
      </c>
      <c r="D60">
        <v>70</v>
      </c>
    </row>
    <row r="61" spans="2:4">
      <c r="B61" t="s">
        <v>467</v>
      </c>
      <c r="C61">
        <v>1</v>
      </c>
      <c r="D61">
        <v>69</v>
      </c>
    </row>
    <row r="62" spans="2:4">
      <c r="B62" t="s">
        <v>417</v>
      </c>
      <c r="C62">
        <v>1</v>
      </c>
      <c r="D62">
        <v>68</v>
      </c>
    </row>
    <row r="63" spans="2:4">
      <c r="B63" t="s">
        <v>460</v>
      </c>
      <c r="C63">
        <v>1</v>
      </c>
      <c r="D63">
        <v>68</v>
      </c>
    </row>
    <row r="64" spans="2:4">
      <c r="B64" t="s">
        <v>415</v>
      </c>
      <c r="C64">
        <v>1</v>
      </c>
      <c r="D64">
        <v>65</v>
      </c>
    </row>
    <row r="65" spans="2:20">
      <c r="B65" t="s">
        <v>476</v>
      </c>
      <c r="C65">
        <v>1</v>
      </c>
      <c r="D65">
        <v>60</v>
      </c>
    </row>
    <row r="66" spans="2:20">
      <c r="B66" t="s">
        <v>433</v>
      </c>
      <c r="C66">
        <v>1</v>
      </c>
      <c r="D66">
        <v>58</v>
      </c>
    </row>
    <row r="67" spans="2:20">
      <c r="B67" t="s">
        <v>401</v>
      </c>
      <c r="C67">
        <v>1</v>
      </c>
      <c r="D67">
        <v>55</v>
      </c>
    </row>
    <row r="68" spans="2:20">
      <c r="B68" t="s">
        <v>410</v>
      </c>
      <c r="C68">
        <v>1</v>
      </c>
      <c r="D68">
        <v>50</v>
      </c>
    </row>
    <row r="69" spans="2:20">
      <c r="B69" t="s">
        <v>443</v>
      </c>
      <c r="C69">
        <v>1</v>
      </c>
      <c r="D69">
        <v>50</v>
      </c>
    </row>
    <row r="70" spans="2:20">
      <c r="B70" t="s">
        <v>469</v>
      </c>
      <c r="C70">
        <v>1</v>
      </c>
      <c r="D70">
        <v>50</v>
      </c>
    </row>
    <row r="71" spans="2:20" ht="15.75" thickBot="1">
      <c r="B71" t="s">
        <v>414</v>
      </c>
      <c r="C71">
        <v>1</v>
      </c>
      <c r="D71">
        <v>48</v>
      </c>
    </row>
    <row r="72" spans="2:20" ht="19.5" thickBot="1">
      <c r="B72" t="s">
        <v>424</v>
      </c>
      <c r="C72">
        <v>1</v>
      </c>
      <c r="D72">
        <v>46</v>
      </c>
      <c r="I72" s="16" t="s">
        <v>29</v>
      </c>
    </row>
    <row r="73" spans="2:20">
      <c r="B73" t="s">
        <v>470</v>
      </c>
      <c r="C73">
        <v>1</v>
      </c>
      <c r="D73">
        <v>43</v>
      </c>
      <c r="F73" s="20" cm="1">
        <f t="array" ref="F73:F76">_xlfn.SEQUENCE(4,1)</f>
        <v>1</v>
      </c>
      <c r="G73" s="21" t="s">
        <v>491</v>
      </c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2"/>
    </row>
    <row r="74" spans="2:20">
      <c r="B74" t="s">
        <v>464</v>
      </c>
      <c r="C74">
        <v>1</v>
      </c>
      <c r="D74">
        <v>42</v>
      </c>
      <c r="F74" s="23">
        <v>2</v>
      </c>
      <c r="G74" s="6" t="s">
        <v>492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24"/>
    </row>
    <row r="75" spans="2:20">
      <c r="B75" t="s">
        <v>462</v>
      </c>
      <c r="C75">
        <v>1</v>
      </c>
      <c r="D75">
        <v>40</v>
      </c>
      <c r="F75" s="23">
        <v>3</v>
      </c>
      <c r="G75" s="6" t="s">
        <v>493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24"/>
    </row>
    <row r="76" spans="2:20" ht="15.75" thickBot="1">
      <c r="B76" t="s">
        <v>427</v>
      </c>
      <c r="C76">
        <v>1</v>
      </c>
      <c r="D76">
        <v>40</v>
      </c>
      <c r="F76" s="25">
        <v>4</v>
      </c>
      <c r="G76" s="27" t="s">
        <v>494</v>
      </c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8"/>
    </row>
    <row r="77" spans="2:20">
      <c r="B77" t="s">
        <v>413</v>
      </c>
      <c r="C77">
        <v>1</v>
      </c>
      <c r="D77">
        <v>40</v>
      </c>
    </row>
    <row r="78" spans="2:20">
      <c r="B78" t="s">
        <v>409</v>
      </c>
      <c r="C78">
        <v>1</v>
      </c>
      <c r="D78">
        <v>39</v>
      </c>
    </row>
    <row r="79" spans="2:20">
      <c r="B79" t="s">
        <v>432</v>
      </c>
      <c r="C79">
        <v>1</v>
      </c>
      <c r="D79">
        <v>36</v>
      </c>
    </row>
    <row r="80" spans="2:20">
      <c r="B80" t="s">
        <v>426</v>
      </c>
      <c r="C80">
        <v>1</v>
      </c>
      <c r="D80">
        <v>35</v>
      </c>
    </row>
    <row r="81" spans="2:4">
      <c r="B81" t="s">
        <v>446</v>
      </c>
      <c r="C81">
        <v>1</v>
      </c>
      <c r="D81">
        <v>34</v>
      </c>
    </row>
    <row r="82" spans="2:4">
      <c r="B82" t="s">
        <v>459</v>
      </c>
      <c r="C82">
        <v>1</v>
      </c>
      <c r="D82">
        <v>32</v>
      </c>
    </row>
    <row r="83" spans="2:4">
      <c r="B83" t="s">
        <v>436</v>
      </c>
      <c r="C83">
        <v>1</v>
      </c>
      <c r="D83">
        <v>30</v>
      </c>
    </row>
    <row r="84" spans="2:4">
      <c r="B84" t="s">
        <v>466</v>
      </c>
      <c r="C84">
        <v>1</v>
      </c>
      <c r="D84">
        <v>30</v>
      </c>
    </row>
    <row r="85" spans="2:4">
      <c r="B85" t="s">
        <v>412</v>
      </c>
      <c r="C85">
        <v>1</v>
      </c>
      <c r="D85">
        <v>30</v>
      </c>
    </row>
    <row r="86" spans="2:4">
      <c r="B86" t="s">
        <v>442</v>
      </c>
      <c r="C86">
        <v>1</v>
      </c>
      <c r="D86">
        <v>29</v>
      </c>
    </row>
    <row r="87" spans="2:4">
      <c r="B87" t="s">
        <v>461</v>
      </c>
      <c r="C87">
        <v>1</v>
      </c>
      <c r="D87">
        <v>29</v>
      </c>
    </row>
    <row r="88" spans="2:4">
      <c r="B88" t="s">
        <v>471</v>
      </c>
      <c r="C88">
        <v>1</v>
      </c>
      <c r="D88">
        <v>20</v>
      </c>
    </row>
    <row r="89" spans="2:4">
      <c r="B89" t="s">
        <v>455</v>
      </c>
      <c r="C89">
        <v>1</v>
      </c>
      <c r="D89">
        <v>20</v>
      </c>
    </row>
    <row r="90" spans="2:4">
      <c r="B90" t="s">
        <v>429</v>
      </c>
      <c r="C90">
        <v>1</v>
      </c>
      <c r="D90">
        <v>20</v>
      </c>
    </row>
    <row r="91" spans="2:4">
      <c r="B91" t="s">
        <v>468</v>
      </c>
      <c r="C91">
        <v>1</v>
      </c>
      <c r="D91">
        <v>15</v>
      </c>
    </row>
    <row r="92" spans="2:4">
      <c r="B92" t="s">
        <v>435</v>
      </c>
      <c r="C92">
        <v>1</v>
      </c>
      <c r="D92">
        <v>15</v>
      </c>
    </row>
    <row r="93" spans="2:4">
      <c r="B93" t="s">
        <v>454</v>
      </c>
      <c r="C93">
        <v>1</v>
      </c>
      <c r="D93">
        <v>10</v>
      </c>
    </row>
    <row r="94" spans="2:4">
      <c r="B94" t="s">
        <v>440</v>
      </c>
      <c r="C94">
        <v>1</v>
      </c>
      <c r="D94">
        <v>10</v>
      </c>
    </row>
    <row r="95" spans="2:4">
      <c r="B95" t="s">
        <v>441</v>
      </c>
      <c r="C95">
        <v>1</v>
      </c>
      <c r="D95">
        <v>4</v>
      </c>
    </row>
    <row r="96" spans="2:4">
      <c r="B96" t="s">
        <v>474</v>
      </c>
      <c r="C96">
        <v>1</v>
      </c>
      <c r="D96">
        <v>3</v>
      </c>
    </row>
    <row r="97" spans="2:4">
      <c r="B97" t="s">
        <v>421</v>
      </c>
      <c r="C97">
        <v>1</v>
      </c>
      <c r="D97">
        <v>1</v>
      </c>
    </row>
    <row r="98" spans="2:4">
      <c r="B98" t="s">
        <v>405</v>
      </c>
      <c r="C98">
        <v>2</v>
      </c>
      <c r="D98">
        <v>216</v>
      </c>
    </row>
    <row r="99" spans="2:4">
      <c r="B99" t="s">
        <v>403</v>
      </c>
      <c r="C99">
        <v>2</v>
      </c>
      <c r="D99">
        <v>192</v>
      </c>
    </row>
    <row r="100" spans="2:4">
      <c r="B100" t="s">
        <v>406</v>
      </c>
      <c r="C100">
        <v>2</v>
      </c>
      <c r="D100">
        <v>179</v>
      </c>
    </row>
    <row r="101" spans="2:4">
      <c r="B101" t="s">
        <v>404</v>
      </c>
      <c r="C101">
        <v>2</v>
      </c>
      <c r="D101">
        <v>173</v>
      </c>
    </row>
    <row r="102" spans="2:4">
      <c r="B102" t="s">
        <v>401</v>
      </c>
      <c r="C102">
        <v>2</v>
      </c>
      <c r="D102">
        <v>169</v>
      </c>
    </row>
    <row r="103" spans="2:4">
      <c r="B103" t="s">
        <v>419</v>
      </c>
      <c r="C103">
        <v>2</v>
      </c>
      <c r="D103">
        <v>167</v>
      </c>
    </row>
    <row r="104" spans="2:4">
      <c r="B104" t="s">
        <v>431</v>
      </c>
      <c r="C104">
        <v>2</v>
      </c>
      <c r="D104">
        <v>154</v>
      </c>
    </row>
    <row r="105" spans="2:4">
      <c r="B105" t="s">
        <v>462</v>
      </c>
      <c r="C105">
        <v>2</v>
      </c>
      <c r="D105">
        <v>148</v>
      </c>
    </row>
    <row r="106" spans="2:4">
      <c r="B106" t="s">
        <v>476</v>
      </c>
      <c r="C106">
        <v>2</v>
      </c>
      <c r="D106">
        <v>139</v>
      </c>
    </row>
    <row r="107" spans="2:4">
      <c r="B107" t="s">
        <v>417</v>
      </c>
      <c r="C107">
        <v>2</v>
      </c>
      <c r="D107">
        <v>131</v>
      </c>
    </row>
    <row r="108" spans="2:4">
      <c r="B108" t="s">
        <v>420</v>
      </c>
      <c r="C108">
        <v>2</v>
      </c>
      <c r="D108">
        <v>130</v>
      </c>
    </row>
    <row r="109" spans="2:4">
      <c r="B109" t="s">
        <v>471</v>
      </c>
      <c r="C109">
        <v>2</v>
      </c>
      <c r="D109">
        <v>129</v>
      </c>
    </row>
    <row r="110" spans="2:4">
      <c r="B110" t="s">
        <v>426</v>
      </c>
      <c r="C110">
        <v>2</v>
      </c>
      <c r="D110">
        <v>125</v>
      </c>
    </row>
    <row r="111" spans="2:4">
      <c r="B111" t="s">
        <v>425</v>
      </c>
      <c r="C111">
        <v>2</v>
      </c>
      <c r="D111">
        <v>122</v>
      </c>
    </row>
    <row r="112" spans="2:4">
      <c r="B112" t="s">
        <v>435</v>
      </c>
      <c r="C112">
        <v>2</v>
      </c>
      <c r="D112">
        <v>118</v>
      </c>
    </row>
    <row r="113" spans="2:4">
      <c r="B113" t="s">
        <v>415</v>
      </c>
      <c r="C113">
        <v>2</v>
      </c>
      <c r="D113">
        <v>118</v>
      </c>
    </row>
    <row r="114" spans="2:4">
      <c r="B114" t="s">
        <v>421</v>
      </c>
      <c r="C114">
        <v>2</v>
      </c>
      <c r="D114">
        <v>117</v>
      </c>
    </row>
    <row r="115" spans="2:4">
      <c r="B115" t="s">
        <v>444</v>
      </c>
      <c r="C115">
        <v>2</v>
      </c>
      <c r="D115">
        <v>110</v>
      </c>
    </row>
    <row r="116" spans="2:4">
      <c r="B116" t="s">
        <v>439</v>
      </c>
      <c r="C116">
        <v>2</v>
      </c>
      <c r="D116">
        <v>104</v>
      </c>
    </row>
    <row r="117" spans="2:4">
      <c r="B117" t="s">
        <v>446</v>
      </c>
      <c r="C117">
        <v>2</v>
      </c>
      <c r="D117">
        <v>102</v>
      </c>
    </row>
    <row r="118" spans="2:4">
      <c r="B118" t="s">
        <v>442</v>
      </c>
      <c r="C118">
        <v>2</v>
      </c>
      <c r="D118">
        <v>97</v>
      </c>
    </row>
    <row r="119" spans="2:4">
      <c r="B119" t="s">
        <v>466</v>
      </c>
      <c r="C119">
        <v>2</v>
      </c>
      <c r="D119">
        <v>95</v>
      </c>
    </row>
    <row r="120" spans="2:4">
      <c r="B120" t="s">
        <v>460</v>
      </c>
      <c r="C120">
        <v>2</v>
      </c>
      <c r="D120">
        <v>93</v>
      </c>
    </row>
    <row r="121" spans="2:4">
      <c r="B121" t="s">
        <v>457</v>
      </c>
      <c r="C121">
        <v>2</v>
      </c>
      <c r="D121">
        <v>90</v>
      </c>
    </row>
    <row r="122" spans="2:4">
      <c r="B122" t="s">
        <v>428</v>
      </c>
      <c r="C122">
        <v>2</v>
      </c>
      <c r="D122">
        <v>88</v>
      </c>
    </row>
    <row r="123" spans="2:4">
      <c r="B123" t="s">
        <v>454</v>
      </c>
      <c r="C123">
        <v>2</v>
      </c>
      <c r="D123">
        <v>87</v>
      </c>
    </row>
    <row r="124" spans="2:4">
      <c r="B124" t="s">
        <v>451</v>
      </c>
      <c r="C124">
        <v>2</v>
      </c>
      <c r="D124">
        <v>84</v>
      </c>
    </row>
    <row r="125" spans="2:4">
      <c r="B125" t="s">
        <v>477</v>
      </c>
      <c r="C125">
        <v>2</v>
      </c>
      <c r="D125">
        <v>78</v>
      </c>
    </row>
    <row r="126" spans="2:4">
      <c r="B126" t="s">
        <v>445</v>
      </c>
      <c r="C126">
        <v>2</v>
      </c>
      <c r="D126">
        <v>77</v>
      </c>
    </row>
    <row r="127" spans="2:4">
      <c r="B127" t="s">
        <v>423</v>
      </c>
      <c r="C127">
        <v>2</v>
      </c>
      <c r="D127">
        <v>71</v>
      </c>
    </row>
    <row r="128" spans="2:4">
      <c r="B128" t="s">
        <v>458</v>
      </c>
      <c r="C128">
        <v>2</v>
      </c>
      <c r="D128">
        <v>71</v>
      </c>
    </row>
    <row r="129" spans="2:4">
      <c r="B129" t="s">
        <v>472</v>
      </c>
      <c r="C129">
        <v>2</v>
      </c>
      <c r="D129">
        <v>70</v>
      </c>
    </row>
    <row r="130" spans="2:4">
      <c r="B130" t="s">
        <v>450</v>
      </c>
      <c r="C130">
        <v>2</v>
      </c>
      <c r="D130">
        <v>67</v>
      </c>
    </row>
    <row r="131" spans="2:4">
      <c r="B131" t="s">
        <v>434</v>
      </c>
      <c r="C131">
        <v>2</v>
      </c>
      <c r="D131">
        <v>65</v>
      </c>
    </row>
    <row r="132" spans="2:4">
      <c r="B132" t="s">
        <v>424</v>
      </c>
      <c r="C132">
        <v>2</v>
      </c>
      <c r="D132">
        <v>65</v>
      </c>
    </row>
    <row r="133" spans="2:4">
      <c r="B133" t="s">
        <v>441</v>
      </c>
      <c r="C133">
        <v>2</v>
      </c>
      <c r="D133">
        <v>60</v>
      </c>
    </row>
    <row r="134" spans="2:4">
      <c r="B134" t="s">
        <v>437</v>
      </c>
      <c r="C134">
        <v>2</v>
      </c>
      <c r="D134">
        <v>59</v>
      </c>
    </row>
    <row r="135" spans="2:4">
      <c r="B135" t="s">
        <v>456</v>
      </c>
      <c r="C135">
        <v>2</v>
      </c>
      <c r="D135">
        <v>57</v>
      </c>
    </row>
    <row r="136" spans="2:4">
      <c r="B136" t="s">
        <v>440</v>
      </c>
      <c r="C136">
        <v>2</v>
      </c>
      <c r="D136">
        <v>56</v>
      </c>
    </row>
    <row r="137" spans="2:4">
      <c r="B137" t="s">
        <v>432</v>
      </c>
      <c r="C137">
        <v>2</v>
      </c>
      <c r="D137">
        <v>55</v>
      </c>
    </row>
    <row r="138" spans="2:4">
      <c r="B138" t="s">
        <v>411</v>
      </c>
      <c r="C138">
        <v>2</v>
      </c>
      <c r="D138">
        <v>55</v>
      </c>
    </row>
    <row r="139" spans="2:4">
      <c r="B139" t="s">
        <v>418</v>
      </c>
      <c r="C139">
        <v>2</v>
      </c>
      <c r="D139">
        <v>54</v>
      </c>
    </row>
    <row r="140" spans="2:4">
      <c r="B140" t="s">
        <v>467</v>
      </c>
      <c r="C140">
        <v>2</v>
      </c>
      <c r="D140">
        <v>51</v>
      </c>
    </row>
    <row r="141" spans="2:4">
      <c r="B141" t="s">
        <v>429</v>
      </c>
      <c r="C141">
        <v>2</v>
      </c>
      <c r="D141">
        <v>46</v>
      </c>
    </row>
    <row r="142" spans="2:4">
      <c r="B142" t="s">
        <v>410</v>
      </c>
      <c r="C142">
        <v>2</v>
      </c>
      <c r="D142">
        <v>42</v>
      </c>
    </row>
    <row r="143" spans="2:4">
      <c r="B143" t="s">
        <v>443</v>
      </c>
      <c r="C143">
        <v>2</v>
      </c>
      <c r="D143">
        <v>42</v>
      </c>
    </row>
    <row r="144" spans="2:4">
      <c r="B144" t="s">
        <v>412</v>
      </c>
      <c r="C144">
        <v>2</v>
      </c>
      <c r="D144">
        <v>41</v>
      </c>
    </row>
    <row r="145" spans="2:4">
      <c r="B145" t="s">
        <v>461</v>
      </c>
      <c r="C145">
        <v>2</v>
      </c>
      <c r="D145">
        <v>41</v>
      </c>
    </row>
    <row r="146" spans="2:4">
      <c r="B146" t="s">
        <v>463</v>
      </c>
      <c r="C146">
        <v>2</v>
      </c>
      <c r="D146">
        <v>40</v>
      </c>
    </row>
    <row r="147" spans="2:4">
      <c r="B147" t="s">
        <v>402</v>
      </c>
      <c r="C147">
        <v>2</v>
      </c>
      <c r="D147">
        <v>39</v>
      </c>
    </row>
    <row r="148" spans="2:4">
      <c r="B148" t="s">
        <v>433</v>
      </c>
      <c r="C148">
        <v>2</v>
      </c>
      <c r="D148">
        <v>38</v>
      </c>
    </row>
    <row r="149" spans="2:4">
      <c r="B149" t="s">
        <v>464</v>
      </c>
      <c r="C149">
        <v>2</v>
      </c>
      <c r="D149">
        <v>36</v>
      </c>
    </row>
    <row r="150" spans="2:4">
      <c r="B150" t="s">
        <v>409</v>
      </c>
      <c r="C150">
        <v>2</v>
      </c>
      <c r="D150">
        <v>35</v>
      </c>
    </row>
    <row r="151" spans="2:4">
      <c r="B151" t="s">
        <v>473</v>
      </c>
      <c r="C151">
        <v>2</v>
      </c>
      <c r="D151">
        <v>35</v>
      </c>
    </row>
    <row r="152" spans="2:4">
      <c r="B152" t="s">
        <v>430</v>
      </c>
      <c r="C152">
        <v>2</v>
      </c>
      <c r="D152">
        <v>35</v>
      </c>
    </row>
    <row r="153" spans="2:4">
      <c r="B153" t="s">
        <v>416</v>
      </c>
      <c r="C153">
        <v>2</v>
      </c>
      <c r="D153">
        <v>35</v>
      </c>
    </row>
    <row r="154" spans="2:4">
      <c r="B154" t="s">
        <v>459</v>
      </c>
      <c r="C154">
        <v>2</v>
      </c>
      <c r="D154">
        <v>30</v>
      </c>
    </row>
    <row r="155" spans="2:4">
      <c r="B155" t="s">
        <v>414</v>
      </c>
      <c r="C155">
        <v>2</v>
      </c>
      <c r="D155">
        <v>25</v>
      </c>
    </row>
    <row r="156" spans="2:4">
      <c r="B156" t="s">
        <v>452</v>
      </c>
      <c r="C156">
        <v>2</v>
      </c>
      <c r="D156">
        <v>23</v>
      </c>
    </row>
    <row r="157" spans="2:4">
      <c r="B157" t="s">
        <v>447</v>
      </c>
      <c r="C157">
        <v>2</v>
      </c>
      <c r="D157">
        <v>21</v>
      </c>
    </row>
    <row r="158" spans="2:4">
      <c r="B158" t="s">
        <v>465</v>
      </c>
      <c r="C158">
        <v>2</v>
      </c>
      <c r="D158">
        <v>20</v>
      </c>
    </row>
    <row r="159" spans="2:4">
      <c r="B159" t="s">
        <v>470</v>
      </c>
      <c r="C159">
        <v>2</v>
      </c>
      <c r="D159">
        <v>20</v>
      </c>
    </row>
    <row r="160" spans="2:4">
      <c r="B160" t="s">
        <v>436</v>
      </c>
      <c r="C160">
        <v>2</v>
      </c>
      <c r="D160">
        <v>20</v>
      </c>
    </row>
    <row r="161" spans="2:4">
      <c r="B161" t="s">
        <v>448</v>
      </c>
      <c r="C161">
        <v>2</v>
      </c>
      <c r="D161">
        <v>20</v>
      </c>
    </row>
    <row r="162" spans="2:4">
      <c r="B162" t="s">
        <v>449</v>
      </c>
      <c r="C162">
        <v>2</v>
      </c>
      <c r="D162">
        <v>20</v>
      </c>
    </row>
    <row r="163" spans="2:4">
      <c r="B163" t="s">
        <v>407</v>
      </c>
      <c r="C163">
        <v>2</v>
      </c>
      <c r="D163">
        <v>13</v>
      </c>
    </row>
    <row r="164" spans="2:4">
      <c r="B164" t="s">
        <v>427</v>
      </c>
      <c r="C164">
        <v>2</v>
      </c>
      <c r="D164">
        <v>10</v>
      </c>
    </row>
    <row r="165" spans="2:4">
      <c r="B165" t="s">
        <v>422</v>
      </c>
      <c r="C165">
        <v>2</v>
      </c>
      <c r="D165">
        <v>10</v>
      </c>
    </row>
    <row r="166" spans="2:4">
      <c r="B166" t="s">
        <v>408</v>
      </c>
      <c r="C166">
        <v>2</v>
      </c>
      <c r="D166">
        <v>8</v>
      </c>
    </row>
    <row r="167" spans="2:4">
      <c r="B167" t="s">
        <v>453</v>
      </c>
      <c r="C167">
        <v>2</v>
      </c>
      <c r="D167">
        <v>6</v>
      </c>
    </row>
    <row r="168" spans="2:4">
      <c r="B168" t="s">
        <v>413</v>
      </c>
      <c r="C168">
        <v>2</v>
      </c>
      <c r="D168">
        <v>5</v>
      </c>
    </row>
    <row r="169" spans="2:4">
      <c r="B169" t="s">
        <v>443</v>
      </c>
      <c r="C169">
        <v>3</v>
      </c>
      <c r="D169">
        <v>230</v>
      </c>
    </row>
    <row r="170" spans="2:4">
      <c r="B170" t="s">
        <v>422</v>
      </c>
      <c r="C170">
        <v>3</v>
      </c>
      <c r="D170">
        <v>220</v>
      </c>
    </row>
    <row r="171" spans="2:4">
      <c r="B171" t="s">
        <v>408</v>
      </c>
      <c r="C171">
        <v>3</v>
      </c>
      <c r="D171">
        <v>200</v>
      </c>
    </row>
    <row r="172" spans="2:4">
      <c r="B172" t="s">
        <v>402</v>
      </c>
      <c r="C172">
        <v>3</v>
      </c>
      <c r="D172">
        <v>188</v>
      </c>
    </row>
    <row r="173" spans="2:4">
      <c r="B173" t="s">
        <v>461</v>
      </c>
      <c r="C173">
        <v>3</v>
      </c>
      <c r="D173">
        <v>183</v>
      </c>
    </row>
    <row r="174" spans="2:4">
      <c r="B174" t="s">
        <v>421</v>
      </c>
      <c r="C174">
        <v>3</v>
      </c>
      <c r="D174">
        <v>173</v>
      </c>
    </row>
    <row r="175" spans="2:4">
      <c r="B175" t="s">
        <v>463</v>
      </c>
      <c r="C175">
        <v>3</v>
      </c>
      <c r="D175">
        <v>166</v>
      </c>
    </row>
    <row r="176" spans="2:4">
      <c r="B176" t="s">
        <v>429</v>
      </c>
      <c r="C176">
        <v>3</v>
      </c>
      <c r="D176">
        <v>165</v>
      </c>
    </row>
    <row r="177" spans="2:4">
      <c r="B177" t="s">
        <v>449</v>
      </c>
      <c r="C177">
        <v>3</v>
      </c>
      <c r="D177">
        <v>162</v>
      </c>
    </row>
    <row r="178" spans="2:4">
      <c r="B178" t="s">
        <v>437</v>
      </c>
      <c r="C178">
        <v>3</v>
      </c>
      <c r="D178">
        <v>159</v>
      </c>
    </row>
    <row r="179" spans="2:4">
      <c r="B179" t="s">
        <v>434</v>
      </c>
      <c r="C179">
        <v>3</v>
      </c>
      <c r="D179">
        <v>157</v>
      </c>
    </row>
    <row r="180" spans="2:4">
      <c r="B180" t="s">
        <v>433</v>
      </c>
      <c r="C180">
        <v>3</v>
      </c>
      <c r="D180">
        <v>154</v>
      </c>
    </row>
    <row r="181" spans="2:4">
      <c r="B181" t="s">
        <v>406</v>
      </c>
      <c r="C181">
        <v>3</v>
      </c>
      <c r="D181">
        <v>150</v>
      </c>
    </row>
    <row r="182" spans="2:4">
      <c r="B182" t="s">
        <v>423</v>
      </c>
      <c r="C182">
        <v>3</v>
      </c>
      <c r="D182">
        <v>148</v>
      </c>
    </row>
    <row r="183" spans="2:4">
      <c r="B183" t="s">
        <v>403</v>
      </c>
      <c r="C183">
        <v>3</v>
      </c>
      <c r="D183">
        <v>146</v>
      </c>
    </row>
    <row r="184" spans="2:4">
      <c r="B184" t="s">
        <v>420</v>
      </c>
      <c r="C184">
        <v>3</v>
      </c>
      <c r="D184">
        <v>137</v>
      </c>
    </row>
    <row r="185" spans="2:4">
      <c r="B185" t="s">
        <v>430</v>
      </c>
      <c r="C185">
        <v>3</v>
      </c>
      <c r="D185">
        <v>127</v>
      </c>
    </row>
    <row r="186" spans="2:4">
      <c r="B186" t="s">
        <v>476</v>
      </c>
      <c r="C186">
        <v>3</v>
      </c>
      <c r="D186">
        <v>125</v>
      </c>
    </row>
    <row r="187" spans="2:4">
      <c r="B187" t="s">
        <v>442</v>
      </c>
      <c r="C187">
        <v>3</v>
      </c>
      <c r="D187">
        <v>120</v>
      </c>
    </row>
    <row r="188" spans="2:4">
      <c r="B188" t="s">
        <v>425</v>
      </c>
      <c r="C188">
        <v>3</v>
      </c>
      <c r="D188">
        <v>116</v>
      </c>
    </row>
    <row r="189" spans="2:4">
      <c r="B189" t="s">
        <v>417</v>
      </c>
      <c r="C189">
        <v>3</v>
      </c>
      <c r="D189">
        <v>114</v>
      </c>
    </row>
    <row r="190" spans="2:4">
      <c r="B190" t="s">
        <v>439</v>
      </c>
      <c r="C190">
        <v>3</v>
      </c>
      <c r="D190">
        <v>108</v>
      </c>
    </row>
    <row r="191" spans="2:4">
      <c r="B191" t="s">
        <v>441</v>
      </c>
      <c r="C191">
        <v>3</v>
      </c>
      <c r="D191">
        <v>108</v>
      </c>
    </row>
    <row r="192" spans="2:4">
      <c r="B192" t="s">
        <v>415</v>
      </c>
      <c r="C192">
        <v>3</v>
      </c>
      <c r="D192">
        <v>106</v>
      </c>
    </row>
    <row r="193" spans="2:4">
      <c r="B193" t="s">
        <v>458</v>
      </c>
      <c r="C193">
        <v>3</v>
      </c>
      <c r="D193">
        <v>104</v>
      </c>
    </row>
    <row r="194" spans="2:4">
      <c r="B194" t="s">
        <v>405</v>
      </c>
      <c r="C194">
        <v>3</v>
      </c>
      <c r="D194">
        <v>100</v>
      </c>
    </row>
    <row r="195" spans="2:4">
      <c r="B195" t="s">
        <v>440</v>
      </c>
      <c r="C195">
        <v>3</v>
      </c>
      <c r="D195">
        <v>100</v>
      </c>
    </row>
    <row r="196" spans="2:4">
      <c r="B196" t="s">
        <v>401</v>
      </c>
      <c r="C196">
        <v>3</v>
      </c>
      <c r="D196">
        <v>100</v>
      </c>
    </row>
    <row r="197" spans="2:4">
      <c r="B197" t="s">
        <v>404</v>
      </c>
      <c r="C197">
        <v>3</v>
      </c>
      <c r="D197">
        <v>99</v>
      </c>
    </row>
    <row r="198" spans="2:4">
      <c r="B198" t="s">
        <v>435</v>
      </c>
      <c r="C198">
        <v>3</v>
      </c>
      <c r="D198">
        <v>90</v>
      </c>
    </row>
    <row r="199" spans="2:4">
      <c r="B199" t="s">
        <v>419</v>
      </c>
      <c r="C199">
        <v>3</v>
      </c>
      <c r="D199">
        <v>81</v>
      </c>
    </row>
    <row r="200" spans="2:4">
      <c r="B200" t="s">
        <v>462</v>
      </c>
      <c r="C200">
        <v>3</v>
      </c>
      <c r="D200">
        <v>80</v>
      </c>
    </row>
    <row r="201" spans="2:4">
      <c r="B201" t="s">
        <v>444</v>
      </c>
      <c r="C201">
        <v>3</v>
      </c>
      <c r="D201">
        <v>79</v>
      </c>
    </row>
    <row r="202" spans="2:4">
      <c r="B202" t="s">
        <v>445</v>
      </c>
      <c r="C202">
        <v>3</v>
      </c>
      <c r="D202">
        <v>79</v>
      </c>
    </row>
    <row r="203" spans="2:4">
      <c r="B203" t="s">
        <v>460</v>
      </c>
      <c r="C203">
        <v>3</v>
      </c>
      <c r="D203">
        <v>73</v>
      </c>
    </row>
    <row r="204" spans="2:4">
      <c r="B204" t="s">
        <v>418</v>
      </c>
      <c r="C204">
        <v>3</v>
      </c>
      <c r="D204">
        <v>68</v>
      </c>
    </row>
    <row r="205" spans="2:4">
      <c r="B205" t="s">
        <v>469</v>
      </c>
      <c r="C205">
        <v>3</v>
      </c>
      <c r="D205">
        <v>60</v>
      </c>
    </row>
    <row r="206" spans="2:4">
      <c r="B206" t="s">
        <v>410</v>
      </c>
      <c r="C206">
        <v>3</v>
      </c>
      <c r="D206">
        <v>60</v>
      </c>
    </row>
    <row r="207" spans="2:4">
      <c r="B207" t="s">
        <v>470</v>
      </c>
      <c r="C207">
        <v>3</v>
      </c>
      <c r="D207">
        <v>57</v>
      </c>
    </row>
    <row r="208" spans="2:4">
      <c r="B208" t="s">
        <v>456</v>
      </c>
      <c r="C208">
        <v>3</v>
      </c>
      <c r="D208">
        <v>56</v>
      </c>
    </row>
    <row r="209" spans="2:4">
      <c r="B209" t="s">
        <v>466</v>
      </c>
      <c r="C209">
        <v>3</v>
      </c>
      <c r="D209">
        <v>51</v>
      </c>
    </row>
    <row r="210" spans="2:4">
      <c r="B210" t="s">
        <v>427</v>
      </c>
      <c r="C210">
        <v>3</v>
      </c>
      <c r="D210">
        <v>50</v>
      </c>
    </row>
    <row r="211" spans="2:4">
      <c r="B211" t="s">
        <v>453</v>
      </c>
      <c r="C211">
        <v>3</v>
      </c>
      <c r="D211">
        <v>50</v>
      </c>
    </row>
    <row r="212" spans="2:4">
      <c r="B212" t="s">
        <v>411</v>
      </c>
      <c r="C212">
        <v>3</v>
      </c>
      <c r="D212">
        <v>50</v>
      </c>
    </row>
    <row r="213" spans="2:4">
      <c r="B213" t="s">
        <v>416</v>
      </c>
      <c r="C213">
        <v>3</v>
      </c>
      <c r="D213">
        <v>50</v>
      </c>
    </row>
    <row r="214" spans="2:4">
      <c r="B214" t="s">
        <v>414</v>
      </c>
      <c r="C214">
        <v>3</v>
      </c>
      <c r="D214">
        <v>48</v>
      </c>
    </row>
    <row r="215" spans="2:4">
      <c r="B215" t="s">
        <v>409</v>
      </c>
      <c r="C215">
        <v>3</v>
      </c>
      <c r="D215">
        <v>45</v>
      </c>
    </row>
    <row r="216" spans="2:4">
      <c r="B216" t="s">
        <v>431</v>
      </c>
      <c r="C216">
        <v>3</v>
      </c>
      <c r="D216">
        <v>45</v>
      </c>
    </row>
    <row r="217" spans="2:4">
      <c r="B217" t="s">
        <v>457</v>
      </c>
      <c r="C217">
        <v>3</v>
      </c>
      <c r="D217">
        <v>42</v>
      </c>
    </row>
    <row r="218" spans="2:4">
      <c r="B218" t="s">
        <v>468</v>
      </c>
      <c r="C218">
        <v>3</v>
      </c>
      <c r="D218">
        <v>40</v>
      </c>
    </row>
    <row r="219" spans="2:4">
      <c r="B219" t="s">
        <v>428</v>
      </c>
      <c r="C219">
        <v>3</v>
      </c>
      <c r="D219">
        <v>38</v>
      </c>
    </row>
    <row r="220" spans="2:4">
      <c r="B220" t="s">
        <v>451</v>
      </c>
      <c r="C220">
        <v>3</v>
      </c>
      <c r="D220">
        <v>35</v>
      </c>
    </row>
    <row r="221" spans="2:4">
      <c r="B221" t="s">
        <v>424</v>
      </c>
      <c r="C221">
        <v>3</v>
      </c>
      <c r="D221">
        <v>35</v>
      </c>
    </row>
    <row r="222" spans="2:4">
      <c r="B222" t="s">
        <v>436</v>
      </c>
      <c r="C222">
        <v>3</v>
      </c>
      <c r="D222">
        <v>30</v>
      </c>
    </row>
    <row r="223" spans="2:4">
      <c r="B223" t="s">
        <v>447</v>
      </c>
      <c r="C223">
        <v>3</v>
      </c>
      <c r="D223">
        <v>30</v>
      </c>
    </row>
    <row r="224" spans="2:4">
      <c r="B224" t="s">
        <v>455</v>
      </c>
      <c r="C224">
        <v>3</v>
      </c>
      <c r="D224">
        <v>30</v>
      </c>
    </row>
    <row r="225" spans="2:4">
      <c r="B225" t="s">
        <v>473</v>
      </c>
      <c r="C225">
        <v>3</v>
      </c>
      <c r="D225">
        <v>30</v>
      </c>
    </row>
    <row r="226" spans="2:4">
      <c r="B226" t="s">
        <v>474</v>
      </c>
      <c r="C226">
        <v>3</v>
      </c>
      <c r="D226">
        <v>30</v>
      </c>
    </row>
    <row r="227" spans="2:4">
      <c r="B227" t="s">
        <v>426</v>
      </c>
      <c r="C227">
        <v>3</v>
      </c>
      <c r="D227">
        <v>28</v>
      </c>
    </row>
    <row r="228" spans="2:4">
      <c r="B228" t="s">
        <v>446</v>
      </c>
      <c r="C228">
        <v>3</v>
      </c>
      <c r="D228">
        <v>25</v>
      </c>
    </row>
    <row r="229" spans="2:4">
      <c r="B229" t="s">
        <v>432</v>
      </c>
      <c r="C229">
        <v>3</v>
      </c>
      <c r="D229">
        <v>20</v>
      </c>
    </row>
    <row r="230" spans="2:4">
      <c r="B230" t="s">
        <v>413</v>
      </c>
      <c r="C230">
        <v>3</v>
      </c>
      <c r="D230">
        <v>20</v>
      </c>
    </row>
    <row r="231" spans="2:4">
      <c r="B231" t="s">
        <v>412</v>
      </c>
      <c r="C231">
        <v>3</v>
      </c>
      <c r="D231">
        <v>20</v>
      </c>
    </row>
    <row r="232" spans="2:4">
      <c r="B232" t="s">
        <v>477</v>
      </c>
      <c r="C232">
        <v>3</v>
      </c>
      <c r="D232">
        <v>15</v>
      </c>
    </row>
    <row r="233" spans="2:4">
      <c r="B233" t="s">
        <v>438</v>
      </c>
      <c r="C233">
        <v>3</v>
      </c>
      <c r="D233">
        <v>15</v>
      </c>
    </row>
    <row r="234" spans="2:4">
      <c r="B234" t="s">
        <v>464</v>
      </c>
      <c r="C234">
        <v>3</v>
      </c>
      <c r="D234">
        <v>15</v>
      </c>
    </row>
    <row r="235" spans="2:4">
      <c r="B235" t="s">
        <v>454</v>
      </c>
      <c r="C235">
        <v>3</v>
      </c>
      <c r="D235">
        <v>12</v>
      </c>
    </row>
    <row r="236" spans="2:4">
      <c r="B236" t="s">
        <v>465</v>
      </c>
      <c r="C236">
        <v>3</v>
      </c>
      <c r="D236">
        <v>10</v>
      </c>
    </row>
    <row r="237" spans="2:4">
      <c r="B237" t="s">
        <v>448</v>
      </c>
      <c r="C237">
        <v>3</v>
      </c>
      <c r="D237">
        <v>6</v>
      </c>
    </row>
    <row r="238" spans="2:4">
      <c r="B238" t="s">
        <v>467</v>
      </c>
      <c r="C238">
        <v>3</v>
      </c>
      <c r="D238">
        <v>5</v>
      </c>
    </row>
    <row r="239" spans="2:4">
      <c r="B239" t="s">
        <v>407</v>
      </c>
      <c r="C239">
        <v>3</v>
      </c>
      <c r="D239">
        <v>2</v>
      </c>
    </row>
    <row r="240" spans="2:4">
      <c r="B240" t="s">
        <v>463</v>
      </c>
      <c r="C240">
        <v>4</v>
      </c>
      <c r="D240">
        <v>333</v>
      </c>
    </row>
    <row r="241" spans="2:4">
      <c r="B241" t="s">
        <v>460</v>
      </c>
      <c r="C241">
        <v>4</v>
      </c>
      <c r="D241">
        <v>289</v>
      </c>
    </row>
    <row r="242" spans="2:4">
      <c r="B242" t="s">
        <v>414</v>
      </c>
      <c r="C242">
        <v>4</v>
      </c>
      <c r="D242">
        <v>247</v>
      </c>
    </row>
    <row r="243" spans="2:4">
      <c r="B243" t="s">
        <v>449</v>
      </c>
      <c r="C243">
        <v>4</v>
      </c>
      <c r="D243">
        <v>227</v>
      </c>
    </row>
    <row r="244" spans="2:4">
      <c r="B244" t="s">
        <v>423</v>
      </c>
      <c r="C244">
        <v>4</v>
      </c>
      <c r="D244">
        <v>226</v>
      </c>
    </row>
    <row r="245" spans="2:4">
      <c r="B245" t="s">
        <v>428</v>
      </c>
      <c r="C245">
        <v>4</v>
      </c>
      <c r="D245">
        <v>188</v>
      </c>
    </row>
    <row r="246" spans="2:4">
      <c r="B246" t="s">
        <v>443</v>
      </c>
      <c r="C246">
        <v>4</v>
      </c>
      <c r="D246">
        <v>183</v>
      </c>
    </row>
    <row r="247" spans="2:4">
      <c r="B247" t="s">
        <v>426</v>
      </c>
      <c r="C247">
        <v>4</v>
      </c>
      <c r="D247">
        <v>181</v>
      </c>
    </row>
    <row r="248" spans="2:4">
      <c r="B248" t="s">
        <v>405</v>
      </c>
      <c r="C248">
        <v>4</v>
      </c>
      <c r="D248">
        <v>170</v>
      </c>
    </row>
    <row r="249" spans="2:4">
      <c r="B249" t="s">
        <v>404</v>
      </c>
      <c r="C249">
        <v>4</v>
      </c>
      <c r="D249">
        <v>156</v>
      </c>
    </row>
    <row r="250" spans="2:4">
      <c r="B250" t="s">
        <v>407</v>
      </c>
      <c r="C250">
        <v>4</v>
      </c>
      <c r="D250">
        <v>120</v>
      </c>
    </row>
    <row r="251" spans="2:4">
      <c r="B251" t="s">
        <v>403</v>
      </c>
      <c r="C251">
        <v>4</v>
      </c>
      <c r="D251">
        <v>106</v>
      </c>
    </row>
    <row r="252" spans="2:4">
      <c r="B252" t="s">
        <v>424</v>
      </c>
      <c r="C252">
        <v>4</v>
      </c>
      <c r="D252">
        <v>105</v>
      </c>
    </row>
    <row r="253" spans="2:4">
      <c r="B253" t="s">
        <v>411</v>
      </c>
      <c r="C253">
        <v>4</v>
      </c>
      <c r="D253">
        <v>101</v>
      </c>
    </row>
    <row r="254" spans="2:4">
      <c r="B254" t="s">
        <v>442</v>
      </c>
      <c r="C254">
        <v>4</v>
      </c>
      <c r="D254">
        <v>100</v>
      </c>
    </row>
    <row r="255" spans="2:4">
      <c r="B255" t="s">
        <v>435</v>
      </c>
      <c r="C255">
        <v>4</v>
      </c>
      <c r="D255">
        <v>96</v>
      </c>
    </row>
    <row r="256" spans="2:4">
      <c r="B256" t="s">
        <v>432</v>
      </c>
      <c r="C256">
        <v>4</v>
      </c>
      <c r="D256">
        <v>95</v>
      </c>
    </row>
    <row r="257" spans="2:4">
      <c r="B257" t="s">
        <v>401</v>
      </c>
      <c r="C257">
        <v>4</v>
      </c>
      <c r="D257">
        <v>95</v>
      </c>
    </row>
    <row r="258" spans="2:4">
      <c r="B258" t="s">
        <v>417</v>
      </c>
      <c r="C258">
        <v>4</v>
      </c>
      <c r="D258">
        <v>95</v>
      </c>
    </row>
    <row r="259" spans="2:4">
      <c r="B259" t="s">
        <v>441</v>
      </c>
      <c r="C259">
        <v>4</v>
      </c>
      <c r="D259">
        <v>92</v>
      </c>
    </row>
    <row r="260" spans="2:4">
      <c r="B260" t="s">
        <v>421</v>
      </c>
      <c r="C260">
        <v>4</v>
      </c>
      <c r="D260">
        <v>91</v>
      </c>
    </row>
    <row r="261" spans="2:4">
      <c r="B261" t="s">
        <v>453</v>
      </c>
      <c r="C261">
        <v>4</v>
      </c>
      <c r="D261">
        <v>88</v>
      </c>
    </row>
    <row r="262" spans="2:4">
      <c r="B262" t="s">
        <v>434</v>
      </c>
      <c r="C262">
        <v>4</v>
      </c>
      <c r="D262">
        <v>82</v>
      </c>
    </row>
    <row r="263" spans="2:4">
      <c r="B263" t="s">
        <v>406</v>
      </c>
      <c r="C263">
        <v>4</v>
      </c>
      <c r="D263">
        <v>80</v>
      </c>
    </row>
    <row r="264" spans="2:4">
      <c r="B264" t="s">
        <v>444</v>
      </c>
      <c r="C264">
        <v>4</v>
      </c>
      <c r="D264">
        <v>80</v>
      </c>
    </row>
    <row r="265" spans="2:4">
      <c r="B265" t="s">
        <v>466</v>
      </c>
      <c r="C265">
        <v>4</v>
      </c>
      <c r="D265">
        <v>79</v>
      </c>
    </row>
    <row r="266" spans="2:4">
      <c r="B266" t="s">
        <v>410</v>
      </c>
      <c r="C266">
        <v>4</v>
      </c>
      <c r="D266">
        <v>78</v>
      </c>
    </row>
    <row r="267" spans="2:4">
      <c r="B267" t="s">
        <v>439</v>
      </c>
      <c r="C267">
        <v>4</v>
      </c>
      <c r="D267">
        <v>72</v>
      </c>
    </row>
    <row r="268" spans="2:4">
      <c r="B268" t="s">
        <v>413</v>
      </c>
      <c r="C268">
        <v>4</v>
      </c>
      <c r="D268">
        <v>70</v>
      </c>
    </row>
    <row r="269" spans="2:4">
      <c r="B269" t="s">
        <v>425</v>
      </c>
      <c r="C269">
        <v>4</v>
      </c>
      <c r="D269">
        <v>70</v>
      </c>
    </row>
    <row r="270" spans="2:4">
      <c r="B270" t="s">
        <v>412</v>
      </c>
      <c r="C270">
        <v>4</v>
      </c>
      <c r="D270">
        <v>67</v>
      </c>
    </row>
    <row r="271" spans="2:4">
      <c r="B271" t="s">
        <v>474</v>
      </c>
      <c r="C271">
        <v>4</v>
      </c>
      <c r="D271">
        <v>64</v>
      </c>
    </row>
    <row r="272" spans="2:4">
      <c r="B272" t="s">
        <v>470</v>
      </c>
      <c r="C272">
        <v>4</v>
      </c>
      <c r="D272">
        <v>63</v>
      </c>
    </row>
    <row r="273" spans="2:4">
      <c r="B273" t="s">
        <v>422</v>
      </c>
      <c r="C273">
        <v>4</v>
      </c>
      <c r="D273">
        <v>61</v>
      </c>
    </row>
    <row r="274" spans="2:4">
      <c r="B274" t="s">
        <v>469</v>
      </c>
      <c r="C274">
        <v>4</v>
      </c>
      <c r="D274">
        <v>60</v>
      </c>
    </row>
    <row r="275" spans="2:4">
      <c r="B275" t="s">
        <v>464</v>
      </c>
      <c r="C275">
        <v>4</v>
      </c>
      <c r="D275">
        <v>60</v>
      </c>
    </row>
    <row r="276" spans="2:4">
      <c r="B276" t="s">
        <v>446</v>
      </c>
      <c r="C276">
        <v>4</v>
      </c>
      <c r="D276">
        <v>60</v>
      </c>
    </row>
    <row r="277" spans="2:4">
      <c r="B277" t="s">
        <v>468</v>
      </c>
      <c r="C277">
        <v>4</v>
      </c>
      <c r="D277">
        <v>58</v>
      </c>
    </row>
    <row r="278" spans="2:4">
      <c r="B278" t="s">
        <v>455</v>
      </c>
      <c r="C278">
        <v>4</v>
      </c>
      <c r="D278">
        <v>55</v>
      </c>
    </row>
    <row r="279" spans="2:4">
      <c r="B279" t="s">
        <v>427</v>
      </c>
      <c r="C279">
        <v>4</v>
      </c>
      <c r="D279">
        <v>55</v>
      </c>
    </row>
    <row r="280" spans="2:4">
      <c r="B280" t="s">
        <v>431</v>
      </c>
      <c r="C280">
        <v>4</v>
      </c>
      <c r="D280">
        <v>50</v>
      </c>
    </row>
    <row r="281" spans="2:4">
      <c r="B281" t="s">
        <v>438</v>
      </c>
      <c r="C281">
        <v>4</v>
      </c>
      <c r="D281">
        <v>50</v>
      </c>
    </row>
    <row r="282" spans="2:4">
      <c r="B282" t="s">
        <v>415</v>
      </c>
      <c r="C282">
        <v>4</v>
      </c>
      <c r="D282">
        <v>50</v>
      </c>
    </row>
    <row r="283" spans="2:4">
      <c r="B283" t="s">
        <v>437</v>
      </c>
      <c r="C283">
        <v>4</v>
      </c>
      <c r="D283">
        <v>50</v>
      </c>
    </row>
    <row r="284" spans="2:4">
      <c r="B284" t="s">
        <v>418</v>
      </c>
      <c r="C284">
        <v>4</v>
      </c>
      <c r="D284">
        <v>50</v>
      </c>
    </row>
    <row r="285" spans="2:4">
      <c r="B285" t="s">
        <v>409</v>
      </c>
      <c r="C285">
        <v>4</v>
      </c>
      <c r="D285">
        <v>48</v>
      </c>
    </row>
    <row r="286" spans="2:4">
      <c r="B286" t="s">
        <v>420</v>
      </c>
      <c r="C286">
        <v>4</v>
      </c>
      <c r="D286">
        <v>47</v>
      </c>
    </row>
    <row r="287" spans="2:4">
      <c r="B287" t="s">
        <v>451</v>
      </c>
      <c r="C287">
        <v>4</v>
      </c>
      <c r="D287">
        <v>45</v>
      </c>
    </row>
    <row r="288" spans="2:4">
      <c r="B288" t="s">
        <v>458</v>
      </c>
      <c r="C288">
        <v>4</v>
      </c>
      <c r="D288">
        <v>45</v>
      </c>
    </row>
    <row r="289" spans="2:4">
      <c r="B289" t="s">
        <v>462</v>
      </c>
      <c r="C289">
        <v>4</v>
      </c>
      <c r="D289">
        <v>44</v>
      </c>
    </row>
    <row r="290" spans="2:4">
      <c r="B290" t="s">
        <v>445</v>
      </c>
      <c r="C290">
        <v>4</v>
      </c>
      <c r="D290">
        <v>40</v>
      </c>
    </row>
    <row r="291" spans="2:4">
      <c r="B291" t="s">
        <v>433</v>
      </c>
      <c r="C291">
        <v>4</v>
      </c>
      <c r="D291">
        <v>39</v>
      </c>
    </row>
    <row r="292" spans="2:4">
      <c r="B292" t="s">
        <v>436</v>
      </c>
      <c r="C292">
        <v>4</v>
      </c>
      <c r="D292">
        <v>36</v>
      </c>
    </row>
    <row r="293" spans="2:4">
      <c r="B293" t="s">
        <v>467</v>
      </c>
      <c r="C293">
        <v>4</v>
      </c>
      <c r="D293">
        <v>36</v>
      </c>
    </row>
    <row r="294" spans="2:4">
      <c r="B294" t="s">
        <v>419</v>
      </c>
      <c r="C294">
        <v>4</v>
      </c>
      <c r="D294">
        <v>35</v>
      </c>
    </row>
    <row r="295" spans="2:4">
      <c r="B295" t="s">
        <v>448</v>
      </c>
      <c r="C295">
        <v>4</v>
      </c>
      <c r="D295">
        <v>35</v>
      </c>
    </row>
    <row r="296" spans="2:4">
      <c r="B296" t="s">
        <v>476</v>
      </c>
      <c r="C296">
        <v>4</v>
      </c>
      <c r="D296">
        <v>34</v>
      </c>
    </row>
    <row r="297" spans="2:4">
      <c r="B297" t="s">
        <v>402</v>
      </c>
      <c r="C297">
        <v>4</v>
      </c>
      <c r="D297">
        <v>32</v>
      </c>
    </row>
    <row r="298" spans="2:4">
      <c r="B298" t="s">
        <v>429</v>
      </c>
      <c r="C298">
        <v>4</v>
      </c>
      <c r="D298">
        <v>30</v>
      </c>
    </row>
    <row r="299" spans="2:4">
      <c r="B299" t="s">
        <v>457</v>
      </c>
      <c r="C299">
        <v>4</v>
      </c>
      <c r="D299">
        <v>30</v>
      </c>
    </row>
    <row r="300" spans="2:4">
      <c r="B300" t="s">
        <v>456</v>
      </c>
      <c r="C300">
        <v>4</v>
      </c>
      <c r="D300">
        <v>29</v>
      </c>
    </row>
    <row r="301" spans="2:4">
      <c r="B301" t="s">
        <v>408</v>
      </c>
      <c r="C301">
        <v>4</v>
      </c>
      <c r="D301">
        <v>27</v>
      </c>
    </row>
    <row r="302" spans="2:4">
      <c r="B302" t="s">
        <v>440</v>
      </c>
      <c r="C302">
        <v>4</v>
      </c>
      <c r="D302">
        <v>26</v>
      </c>
    </row>
    <row r="303" spans="2:4">
      <c r="B303" t="s">
        <v>461</v>
      </c>
      <c r="C303">
        <v>4</v>
      </c>
      <c r="D303">
        <v>24</v>
      </c>
    </row>
    <row r="304" spans="2:4">
      <c r="B304" t="s">
        <v>454</v>
      </c>
      <c r="C304">
        <v>4</v>
      </c>
      <c r="D304">
        <v>21</v>
      </c>
    </row>
    <row r="305" spans="2:4">
      <c r="B305" t="s">
        <v>447</v>
      </c>
      <c r="C305">
        <v>4</v>
      </c>
      <c r="D305">
        <v>21</v>
      </c>
    </row>
    <row r="306" spans="2:4">
      <c r="B306" t="s">
        <v>459</v>
      </c>
      <c r="C306">
        <v>4</v>
      </c>
      <c r="D306">
        <v>20</v>
      </c>
    </row>
    <row r="307" spans="2:4">
      <c r="B307" t="s">
        <v>471</v>
      </c>
      <c r="C307">
        <v>4</v>
      </c>
      <c r="D307">
        <v>20</v>
      </c>
    </row>
    <row r="308" spans="2:4">
      <c r="B308" t="s">
        <v>465</v>
      </c>
      <c r="C308">
        <v>4</v>
      </c>
      <c r="D308">
        <v>20</v>
      </c>
    </row>
    <row r="309" spans="2:4">
      <c r="B309" t="s">
        <v>416</v>
      </c>
      <c r="C309">
        <v>4</v>
      </c>
      <c r="D309">
        <v>19</v>
      </c>
    </row>
    <row r="310" spans="2:4">
      <c r="B310" t="s">
        <v>473</v>
      </c>
      <c r="C310">
        <v>4</v>
      </c>
      <c r="D310">
        <v>16</v>
      </c>
    </row>
    <row r="311" spans="2:4">
      <c r="B311" t="s">
        <v>450</v>
      </c>
      <c r="C311">
        <v>4</v>
      </c>
      <c r="D311">
        <v>12</v>
      </c>
    </row>
    <row r="312" spans="2:4">
      <c r="B312" t="s">
        <v>472</v>
      </c>
      <c r="C312">
        <v>4</v>
      </c>
      <c r="D312">
        <v>8</v>
      </c>
    </row>
    <row r="313" spans="2:4">
      <c r="B313" t="s">
        <v>403</v>
      </c>
      <c r="C313">
        <v>5</v>
      </c>
      <c r="D313">
        <v>386</v>
      </c>
    </row>
    <row r="314" spans="2:4">
      <c r="B314" t="s">
        <v>405</v>
      </c>
      <c r="C314">
        <v>5</v>
      </c>
      <c r="D314">
        <v>280</v>
      </c>
    </row>
    <row r="315" spans="2:4">
      <c r="B315" t="s">
        <v>445</v>
      </c>
      <c r="C315">
        <v>5</v>
      </c>
      <c r="D315">
        <v>235</v>
      </c>
    </row>
    <row r="316" spans="2:4">
      <c r="B316" t="s">
        <v>455</v>
      </c>
      <c r="C316">
        <v>5</v>
      </c>
      <c r="D316">
        <v>215</v>
      </c>
    </row>
    <row r="317" spans="2:4">
      <c r="B317" t="s">
        <v>425</v>
      </c>
      <c r="C317">
        <v>5</v>
      </c>
      <c r="D317">
        <v>213</v>
      </c>
    </row>
    <row r="318" spans="2:4">
      <c r="B318" t="s">
        <v>460</v>
      </c>
      <c r="C318">
        <v>5</v>
      </c>
      <c r="D318">
        <v>203</v>
      </c>
    </row>
    <row r="319" spans="2:4">
      <c r="B319" t="s">
        <v>420</v>
      </c>
      <c r="C319">
        <v>5</v>
      </c>
      <c r="D319">
        <v>197</v>
      </c>
    </row>
    <row r="320" spans="2:4">
      <c r="B320" t="s">
        <v>422</v>
      </c>
      <c r="C320">
        <v>5</v>
      </c>
      <c r="D320">
        <v>185</v>
      </c>
    </row>
    <row r="321" spans="2:4">
      <c r="B321" t="s">
        <v>446</v>
      </c>
      <c r="C321">
        <v>5</v>
      </c>
      <c r="D321">
        <v>182</v>
      </c>
    </row>
    <row r="322" spans="2:4">
      <c r="B322" t="s">
        <v>406</v>
      </c>
      <c r="C322">
        <v>5</v>
      </c>
      <c r="D322">
        <v>179</v>
      </c>
    </row>
    <row r="323" spans="2:4">
      <c r="B323" t="s">
        <v>463</v>
      </c>
      <c r="C323">
        <v>5</v>
      </c>
      <c r="D323">
        <v>177</v>
      </c>
    </row>
    <row r="324" spans="2:4">
      <c r="B324" t="s">
        <v>414</v>
      </c>
      <c r="C324">
        <v>5</v>
      </c>
      <c r="D324">
        <v>174</v>
      </c>
    </row>
    <row r="325" spans="2:4">
      <c r="B325" t="s">
        <v>402</v>
      </c>
      <c r="C325">
        <v>5</v>
      </c>
      <c r="D325">
        <v>158</v>
      </c>
    </row>
    <row r="326" spans="2:4">
      <c r="B326" t="s">
        <v>410</v>
      </c>
      <c r="C326">
        <v>5</v>
      </c>
      <c r="D326">
        <v>156</v>
      </c>
    </row>
    <row r="327" spans="2:4">
      <c r="B327" t="s">
        <v>443</v>
      </c>
      <c r="C327">
        <v>5</v>
      </c>
      <c r="D327">
        <v>155</v>
      </c>
    </row>
    <row r="328" spans="2:4">
      <c r="B328" t="s">
        <v>449</v>
      </c>
      <c r="C328">
        <v>5</v>
      </c>
      <c r="D328">
        <v>152</v>
      </c>
    </row>
    <row r="329" spans="2:4">
      <c r="B329" t="s">
        <v>426</v>
      </c>
      <c r="C329">
        <v>5</v>
      </c>
      <c r="D329">
        <v>146</v>
      </c>
    </row>
    <row r="330" spans="2:4">
      <c r="B330" t="s">
        <v>435</v>
      </c>
      <c r="C330">
        <v>5</v>
      </c>
      <c r="D330">
        <v>144</v>
      </c>
    </row>
    <row r="331" spans="2:4">
      <c r="B331" t="s">
        <v>429</v>
      </c>
      <c r="C331">
        <v>5</v>
      </c>
      <c r="D331">
        <v>137</v>
      </c>
    </row>
    <row r="332" spans="2:4">
      <c r="B332" t="s">
        <v>448</v>
      </c>
      <c r="C332">
        <v>5</v>
      </c>
      <c r="D332">
        <v>135</v>
      </c>
    </row>
    <row r="333" spans="2:4">
      <c r="B333" t="s">
        <v>444</v>
      </c>
      <c r="C333">
        <v>5</v>
      </c>
      <c r="D333">
        <v>135</v>
      </c>
    </row>
    <row r="334" spans="2:4">
      <c r="B334" t="s">
        <v>407</v>
      </c>
      <c r="C334">
        <v>5</v>
      </c>
      <c r="D334">
        <v>133</v>
      </c>
    </row>
    <row r="335" spans="2:4">
      <c r="B335" t="s">
        <v>458</v>
      </c>
      <c r="C335">
        <v>5</v>
      </c>
      <c r="D335">
        <v>127</v>
      </c>
    </row>
    <row r="336" spans="2:4">
      <c r="B336" t="s">
        <v>418</v>
      </c>
      <c r="C336">
        <v>5</v>
      </c>
      <c r="D336">
        <v>126</v>
      </c>
    </row>
    <row r="337" spans="2:4">
      <c r="B337" t="s">
        <v>427</v>
      </c>
      <c r="C337">
        <v>5</v>
      </c>
      <c r="D337">
        <v>120</v>
      </c>
    </row>
    <row r="338" spans="2:4">
      <c r="B338" t="s">
        <v>431</v>
      </c>
      <c r="C338">
        <v>5</v>
      </c>
      <c r="D338">
        <v>120</v>
      </c>
    </row>
    <row r="339" spans="2:4">
      <c r="B339" t="s">
        <v>442</v>
      </c>
      <c r="C339">
        <v>5</v>
      </c>
      <c r="D339">
        <v>116</v>
      </c>
    </row>
    <row r="340" spans="2:4">
      <c r="B340" t="s">
        <v>459</v>
      </c>
      <c r="C340">
        <v>5</v>
      </c>
      <c r="D340">
        <v>100</v>
      </c>
    </row>
    <row r="341" spans="2:4">
      <c r="B341" t="s">
        <v>430</v>
      </c>
      <c r="C341">
        <v>5</v>
      </c>
      <c r="D341">
        <v>95</v>
      </c>
    </row>
    <row r="342" spans="2:4">
      <c r="B342" t="s">
        <v>467</v>
      </c>
      <c r="C342">
        <v>5</v>
      </c>
      <c r="D342">
        <v>93</v>
      </c>
    </row>
    <row r="343" spans="2:4">
      <c r="B343" t="s">
        <v>439</v>
      </c>
      <c r="C343">
        <v>5</v>
      </c>
      <c r="D343">
        <v>89</v>
      </c>
    </row>
    <row r="344" spans="2:4">
      <c r="B344" t="s">
        <v>408</v>
      </c>
      <c r="C344">
        <v>5</v>
      </c>
      <c r="D344">
        <v>89</v>
      </c>
    </row>
    <row r="345" spans="2:4">
      <c r="B345" t="s">
        <v>441</v>
      </c>
      <c r="C345">
        <v>5</v>
      </c>
      <c r="D345">
        <v>87</v>
      </c>
    </row>
    <row r="346" spans="2:4">
      <c r="B346" t="s">
        <v>421</v>
      </c>
      <c r="C346">
        <v>5</v>
      </c>
      <c r="D346">
        <v>85</v>
      </c>
    </row>
    <row r="347" spans="2:4">
      <c r="B347" t="s">
        <v>419</v>
      </c>
      <c r="C347">
        <v>5</v>
      </c>
      <c r="D347">
        <v>81</v>
      </c>
    </row>
    <row r="348" spans="2:4">
      <c r="B348" t="s">
        <v>409</v>
      </c>
      <c r="C348">
        <v>5</v>
      </c>
      <c r="D348">
        <v>78</v>
      </c>
    </row>
    <row r="349" spans="2:4">
      <c r="B349" t="s">
        <v>416</v>
      </c>
      <c r="C349">
        <v>5</v>
      </c>
      <c r="D349">
        <v>76</v>
      </c>
    </row>
    <row r="350" spans="2:4">
      <c r="B350" t="s">
        <v>447</v>
      </c>
      <c r="C350">
        <v>5</v>
      </c>
      <c r="D350">
        <v>75</v>
      </c>
    </row>
    <row r="351" spans="2:4">
      <c r="B351" t="s">
        <v>412</v>
      </c>
      <c r="C351">
        <v>5</v>
      </c>
      <c r="D351">
        <v>75</v>
      </c>
    </row>
    <row r="352" spans="2:4">
      <c r="B352" t="s">
        <v>476</v>
      </c>
      <c r="C352">
        <v>5</v>
      </c>
      <c r="D352">
        <v>71</v>
      </c>
    </row>
    <row r="353" spans="2:4">
      <c r="B353" t="s">
        <v>450</v>
      </c>
      <c r="C353">
        <v>5</v>
      </c>
      <c r="D353">
        <v>70</v>
      </c>
    </row>
    <row r="354" spans="2:4">
      <c r="B354" t="s">
        <v>432</v>
      </c>
      <c r="C354">
        <v>5</v>
      </c>
      <c r="D354">
        <v>69</v>
      </c>
    </row>
    <row r="355" spans="2:4">
      <c r="B355" t="s">
        <v>436</v>
      </c>
      <c r="C355">
        <v>5</v>
      </c>
      <c r="D355">
        <v>64</v>
      </c>
    </row>
    <row r="356" spans="2:4">
      <c r="B356" t="s">
        <v>411</v>
      </c>
      <c r="C356">
        <v>5</v>
      </c>
      <c r="D356">
        <v>62</v>
      </c>
    </row>
    <row r="357" spans="2:4">
      <c r="B357" t="s">
        <v>456</v>
      </c>
      <c r="C357">
        <v>5</v>
      </c>
      <c r="D357">
        <v>57</v>
      </c>
    </row>
    <row r="358" spans="2:4">
      <c r="B358" t="s">
        <v>413</v>
      </c>
      <c r="C358">
        <v>5</v>
      </c>
      <c r="D358">
        <v>54</v>
      </c>
    </row>
    <row r="359" spans="2:4">
      <c r="B359" t="s">
        <v>423</v>
      </c>
      <c r="C359">
        <v>5</v>
      </c>
      <c r="D359">
        <v>53</v>
      </c>
    </row>
    <row r="360" spans="2:4">
      <c r="B360" t="s">
        <v>440</v>
      </c>
      <c r="C360">
        <v>5</v>
      </c>
      <c r="D360">
        <v>51</v>
      </c>
    </row>
    <row r="361" spans="2:4">
      <c r="B361" t="s">
        <v>461</v>
      </c>
      <c r="C361">
        <v>5</v>
      </c>
      <c r="D361">
        <v>50</v>
      </c>
    </row>
    <row r="362" spans="2:4">
      <c r="B362" t="s">
        <v>474</v>
      </c>
      <c r="C362">
        <v>5</v>
      </c>
      <c r="D362">
        <v>50</v>
      </c>
    </row>
    <row r="363" spans="2:4">
      <c r="B363" t="s">
        <v>451</v>
      </c>
      <c r="C363">
        <v>5</v>
      </c>
      <c r="D363">
        <v>48</v>
      </c>
    </row>
    <row r="364" spans="2:4">
      <c r="B364" t="s">
        <v>415</v>
      </c>
      <c r="C364">
        <v>5</v>
      </c>
      <c r="D364">
        <v>45</v>
      </c>
    </row>
    <row r="365" spans="2:4">
      <c r="B365" t="s">
        <v>438</v>
      </c>
      <c r="C365">
        <v>5</v>
      </c>
      <c r="D365">
        <v>44</v>
      </c>
    </row>
    <row r="366" spans="2:4">
      <c r="B366" t="s">
        <v>424</v>
      </c>
      <c r="C366">
        <v>5</v>
      </c>
      <c r="D366">
        <v>42</v>
      </c>
    </row>
    <row r="367" spans="2:4">
      <c r="B367" t="s">
        <v>464</v>
      </c>
      <c r="C367">
        <v>5</v>
      </c>
      <c r="D367">
        <v>41</v>
      </c>
    </row>
    <row r="368" spans="2:4">
      <c r="B368" t="s">
        <v>417</v>
      </c>
      <c r="C368">
        <v>5</v>
      </c>
      <c r="D368">
        <v>40</v>
      </c>
    </row>
    <row r="369" spans="2:4">
      <c r="B369" t="s">
        <v>401</v>
      </c>
      <c r="C369">
        <v>5</v>
      </c>
      <c r="D369">
        <v>40</v>
      </c>
    </row>
    <row r="370" spans="2:4">
      <c r="B370" t="s">
        <v>457</v>
      </c>
      <c r="C370">
        <v>5</v>
      </c>
      <c r="D370">
        <v>40</v>
      </c>
    </row>
    <row r="371" spans="2:4">
      <c r="B371" t="s">
        <v>433</v>
      </c>
      <c r="C371">
        <v>5</v>
      </c>
      <c r="D371">
        <v>39</v>
      </c>
    </row>
    <row r="372" spans="2:4">
      <c r="B372" t="s">
        <v>470</v>
      </c>
      <c r="C372">
        <v>5</v>
      </c>
      <c r="D372">
        <v>38</v>
      </c>
    </row>
    <row r="373" spans="2:4">
      <c r="B373" t="s">
        <v>404</v>
      </c>
      <c r="C373">
        <v>5</v>
      </c>
      <c r="D373">
        <v>36</v>
      </c>
    </row>
    <row r="374" spans="2:4">
      <c r="B374" t="s">
        <v>428</v>
      </c>
      <c r="C374">
        <v>5</v>
      </c>
      <c r="D374">
        <v>35</v>
      </c>
    </row>
    <row r="375" spans="2:4">
      <c r="B375" t="s">
        <v>454</v>
      </c>
      <c r="C375">
        <v>5</v>
      </c>
      <c r="D375">
        <v>25</v>
      </c>
    </row>
    <row r="376" spans="2:4">
      <c r="B376" t="s">
        <v>471</v>
      </c>
      <c r="C376">
        <v>5</v>
      </c>
      <c r="D376">
        <v>25</v>
      </c>
    </row>
    <row r="377" spans="2:4">
      <c r="B377" t="s">
        <v>462</v>
      </c>
      <c r="C377">
        <v>5</v>
      </c>
      <c r="D377">
        <v>20</v>
      </c>
    </row>
    <row r="378" spans="2:4">
      <c r="B378" t="s">
        <v>473</v>
      </c>
      <c r="C378">
        <v>5</v>
      </c>
      <c r="D378">
        <v>20</v>
      </c>
    </row>
    <row r="379" spans="2:4">
      <c r="B379" t="s">
        <v>452</v>
      </c>
      <c r="C379">
        <v>5</v>
      </c>
      <c r="D379">
        <v>16</v>
      </c>
    </row>
    <row r="380" spans="2:4">
      <c r="B380" t="s">
        <v>477</v>
      </c>
      <c r="C380">
        <v>5</v>
      </c>
      <c r="D380">
        <v>15</v>
      </c>
    </row>
    <row r="381" spans="2:4">
      <c r="B381" t="s">
        <v>475</v>
      </c>
      <c r="C381">
        <v>5</v>
      </c>
      <c r="D381">
        <v>12</v>
      </c>
    </row>
    <row r="382" spans="2:4">
      <c r="B382" t="s">
        <v>434</v>
      </c>
      <c r="C382">
        <v>5</v>
      </c>
      <c r="D382">
        <v>10</v>
      </c>
    </row>
    <row r="383" spans="2:4">
      <c r="B383" t="s">
        <v>469</v>
      </c>
      <c r="C383">
        <v>5</v>
      </c>
      <c r="D383">
        <v>10</v>
      </c>
    </row>
    <row r="384" spans="2:4">
      <c r="B384" t="s">
        <v>437</v>
      </c>
      <c r="C384">
        <v>5</v>
      </c>
      <c r="D384">
        <v>10</v>
      </c>
    </row>
    <row r="385" spans="2:4">
      <c r="B385" t="s">
        <v>466</v>
      </c>
      <c r="C385">
        <v>5</v>
      </c>
      <c r="D385">
        <v>6</v>
      </c>
    </row>
    <row r="386" spans="2:4">
      <c r="B386" t="s">
        <v>428</v>
      </c>
      <c r="C386">
        <v>6</v>
      </c>
      <c r="D386">
        <v>155</v>
      </c>
    </row>
    <row r="387" spans="2:4">
      <c r="B387" t="s">
        <v>415</v>
      </c>
      <c r="C387">
        <v>6</v>
      </c>
      <c r="D387">
        <v>132</v>
      </c>
    </row>
    <row r="388" spans="2:4">
      <c r="B388" t="s">
        <v>423</v>
      </c>
      <c r="C388">
        <v>6</v>
      </c>
      <c r="D388">
        <v>130</v>
      </c>
    </row>
    <row r="389" spans="2:4">
      <c r="B389" t="s">
        <v>412</v>
      </c>
      <c r="C389">
        <v>6</v>
      </c>
      <c r="D389">
        <v>121</v>
      </c>
    </row>
    <row r="390" spans="2:4">
      <c r="B390" t="s">
        <v>432</v>
      </c>
      <c r="C390">
        <v>6</v>
      </c>
      <c r="D390">
        <v>120</v>
      </c>
    </row>
    <row r="391" spans="2:4">
      <c r="B391" t="s">
        <v>434</v>
      </c>
      <c r="C391">
        <v>6</v>
      </c>
      <c r="D391">
        <v>103</v>
      </c>
    </row>
    <row r="392" spans="2:4">
      <c r="B392" t="s">
        <v>447</v>
      </c>
      <c r="C392">
        <v>6</v>
      </c>
      <c r="D392">
        <v>101</v>
      </c>
    </row>
    <row r="393" spans="2:4">
      <c r="B393" t="s">
        <v>464</v>
      </c>
      <c r="C393">
        <v>6</v>
      </c>
      <c r="D393">
        <v>100</v>
      </c>
    </row>
    <row r="394" spans="2:4">
      <c r="B394" t="s">
        <v>462</v>
      </c>
      <c r="C394">
        <v>6</v>
      </c>
      <c r="D394">
        <v>92</v>
      </c>
    </row>
    <row r="395" spans="2:4">
      <c r="B395" t="s">
        <v>408</v>
      </c>
      <c r="C395">
        <v>6</v>
      </c>
      <c r="D395">
        <v>73</v>
      </c>
    </row>
    <row r="396" spans="2:4">
      <c r="B396" t="s">
        <v>445</v>
      </c>
      <c r="C396">
        <v>6</v>
      </c>
      <c r="D396">
        <v>72</v>
      </c>
    </row>
    <row r="397" spans="2:4">
      <c r="B397" t="s">
        <v>471</v>
      </c>
      <c r="C397">
        <v>6</v>
      </c>
      <c r="D397">
        <v>64</v>
      </c>
    </row>
    <row r="398" spans="2:4">
      <c r="B398" t="s">
        <v>425</v>
      </c>
      <c r="C398">
        <v>6</v>
      </c>
      <c r="D398">
        <v>62</v>
      </c>
    </row>
    <row r="399" spans="2:4">
      <c r="B399" t="s">
        <v>404</v>
      </c>
      <c r="C399">
        <v>6</v>
      </c>
      <c r="D399">
        <v>60</v>
      </c>
    </row>
    <row r="400" spans="2:4">
      <c r="B400" t="s">
        <v>431</v>
      </c>
      <c r="C400">
        <v>6</v>
      </c>
      <c r="D400">
        <v>56</v>
      </c>
    </row>
    <row r="401" spans="2:4">
      <c r="B401" t="s">
        <v>463</v>
      </c>
      <c r="C401">
        <v>6</v>
      </c>
      <c r="D401">
        <v>55</v>
      </c>
    </row>
    <row r="402" spans="2:4">
      <c r="B402" t="s">
        <v>411</v>
      </c>
      <c r="C402">
        <v>6</v>
      </c>
      <c r="D402">
        <v>55</v>
      </c>
    </row>
    <row r="403" spans="2:4">
      <c r="B403" t="s">
        <v>444</v>
      </c>
      <c r="C403">
        <v>6</v>
      </c>
      <c r="D403">
        <v>55</v>
      </c>
    </row>
    <row r="404" spans="2:4">
      <c r="B404" t="s">
        <v>407</v>
      </c>
      <c r="C404">
        <v>6</v>
      </c>
      <c r="D404">
        <v>54</v>
      </c>
    </row>
    <row r="405" spans="2:4">
      <c r="B405" t="s">
        <v>476</v>
      </c>
      <c r="C405">
        <v>6</v>
      </c>
      <c r="D405">
        <v>53</v>
      </c>
    </row>
    <row r="406" spans="2:4">
      <c r="B406" t="s">
        <v>426</v>
      </c>
      <c r="C406">
        <v>6</v>
      </c>
      <c r="D406">
        <v>52</v>
      </c>
    </row>
    <row r="407" spans="2:4">
      <c r="B407" t="s">
        <v>461</v>
      </c>
      <c r="C407">
        <v>6</v>
      </c>
      <c r="D407">
        <v>49</v>
      </c>
    </row>
    <row r="408" spans="2:4">
      <c r="B408" t="s">
        <v>435</v>
      </c>
      <c r="C408">
        <v>6</v>
      </c>
      <c r="D408">
        <v>48</v>
      </c>
    </row>
    <row r="409" spans="2:4">
      <c r="B409" t="s">
        <v>438</v>
      </c>
      <c r="C409">
        <v>6</v>
      </c>
      <c r="D409">
        <v>47</v>
      </c>
    </row>
    <row r="410" spans="2:4">
      <c r="B410" t="s">
        <v>442</v>
      </c>
      <c r="C410">
        <v>6</v>
      </c>
      <c r="D410">
        <v>40</v>
      </c>
    </row>
    <row r="411" spans="2:4">
      <c r="B411" t="s">
        <v>440</v>
      </c>
      <c r="C411">
        <v>6</v>
      </c>
      <c r="D411">
        <v>40</v>
      </c>
    </row>
    <row r="412" spans="2:4">
      <c r="B412" t="s">
        <v>419</v>
      </c>
      <c r="C412">
        <v>6</v>
      </c>
      <c r="D412">
        <v>40</v>
      </c>
    </row>
    <row r="413" spans="2:4">
      <c r="B413" t="s">
        <v>405</v>
      </c>
      <c r="C413">
        <v>6</v>
      </c>
      <c r="D413">
        <v>37</v>
      </c>
    </row>
    <row r="414" spans="2:4">
      <c r="B414" t="s">
        <v>430</v>
      </c>
      <c r="C414">
        <v>6</v>
      </c>
      <c r="D414">
        <v>36</v>
      </c>
    </row>
    <row r="415" spans="2:4">
      <c r="B415" t="s">
        <v>421</v>
      </c>
      <c r="C415">
        <v>6</v>
      </c>
      <c r="D415">
        <v>35</v>
      </c>
    </row>
    <row r="416" spans="2:4">
      <c r="B416" t="s">
        <v>433</v>
      </c>
      <c r="C416">
        <v>6</v>
      </c>
      <c r="D416">
        <v>35</v>
      </c>
    </row>
    <row r="417" spans="2:4">
      <c r="B417" t="s">
        <v>465</v>
      </c>
      <c r="C417">
        <v>6</v>
      </c>
      <c r="D417">
        <v>35</v>
      </c>
    </row>
    <row r="418" spans="2:4">
      <c r="B418" t="s">
        <v>449</v>
      </c>
      <c r="C418">
        <v>6</v>
      </c>
      <c r="D418">
        <v>34</v>
      </c>
    </row>
    <row r="419" spans="2:4">
      <c r="B419" t="s">
        <v>401</v>
      </c>
      <c r="C419">
        <v>6</v>
      </c>
      <c r="D419">
        <v>34</v>
      </c>
    </row>
    <row r="420" spans="2:4">
      <c r="B420" t="s">
        <v>456</v>
      </c>
      <c r="C420">
        <v>6</v>
      </c>
      <c r="D420">
        <v>33</v>
      </c>
    </row>
    <row r="421" spans="2:4">
      <c r="B421" t="s">
        <v>460</v>
      </c>
      <c r="C421">
        <v>6</v>
      </c>
      <c r="D421">
        <v>32</v>
      </c>
    </row>
    <row r="422" spans="2:4">
      <c r="B422" t="s">
        <v>406</v>
      </c>
      <c r="C422">
        <v>6</v>
      </c>
      <c r="D422">
        <v>30</v>
      </c>
    </row>
    <row r="423" spans="2:4">
      <c r="B423" t="s">
        <v>429</v>
      </c>
      <c r="C423">
        <v>6</v>
      </c>
      <c r="D423">
        <v>30</v>
      </c>
    </row>
    <row r="424" spans="2:4">
      <c r="B424" t="s">
        <v>416</v>
      </c>
      <c r="C424">
        <v>6</v>
      </c>
      <c r="D424">
        <v>28</v>
      </c>
    </row>
    <row r="425" spans="2:4">
      <c r="B425" t="s">
        <v>414</v>
      </c>
      <c r="C425">
        <v>6</v>
      </c>
      <c r="D425">
        <v>26</v>
      </c>
    </row>
    <row r="426" spans="2:4">
      <c r="B426" t="s">
        <v>469</v>
      </c>
      <c r="C426">
        <v>6</v>
      </c>
      <c r="D426">
        <v>25</v>
      </c>
    </row>
    <row r="427" spans="2:4">
      <c r="B427" t="s">
        <v>448</v>
      </c>
      <c r="C427">
        <v>6</v>
      </c>
      <c r="D427">
        <v>25</v>
      </c>
    </row>
    <row r="428" spans="2:4">
      <c r="B428" t="s">
        <v>454</v>
      </c>
      <c r="C428">
        <v>6</v>
      </c>
      <c r="D428">
        <v>24</v>
      </c>
    </row>
    <row r="429" spans="2:4">
      <c r="B429" t="s">
        <v>437</v>
      </c>
      <c r="C429">
        <v>6</v>
      </c>
      <c r="D429">
        <v>22</v>
      </c>
    </row>
    <row r="430" spans="2:4">
      <c r="B430" t="s">
        <v>468</v>
      </c>
      <c r="C430">
        <v>6</v>
      </c>
      <c r="D430">
        <v>22</v>
      </c>
    </row>
    <row r="431" spans="2:4">
      <c r="B431" t="s">
        <v>453</v>
      </c>
      <c r="C431">
        <v>6</v>
      </c>
      <c r="D431">
        <v>21</v>
      </c>
    </row>
    <row r="432" spans="2:4">
      <c r="B432" t="s">
        <v>450</v>
      </c>
      <c r="C432">
        <v>6</v>
      </c>
      <c r="D432">
        <v>21</v>
      </c>
    </row>
    <row r="433" spans="2:4">
      <c r="B433" t="s">
        <v>443</v>
      </c>
      <c r="C433">
        <v>6</v>
      </c>
      <c r="D433">
        <v>21</v>
      </c>
    </row>
    <row r="434" spans="2:4">
      <c r="B434" t="s">
        <v>458</v>
      </c>
      <c r="C434">
        <v>6</v>
      </c>
      <c r="D434">
        <v>20</v>
      </c>
    </row>
    <row r="435" spans="2:4">
      <c r="B435" t="s">
        <v>457</v>
      </c>
      <c r="C435">
        <v>6</v>
      </c>
      <c r="D435">
        <v>20</v>
      </c>
    </row>
    <row r="436" spans="2:4">
      <c r="B436" t="s">
        <v>472</v>
      </c>
      <c r="C436">
        <v>6</v>
      </c>
      <c r="D436">
        <v>18</v>
      </c>
    </row>
    <row r="437" spans="2:4">
      <c r="B437" t="s">
        <v>403</v>
      </c>
      <c r="C437">
        <v>6</v>
      </c>
      <c r="D437">
        <v>17</v>
      </c>
    </row>
    <row r="438" spans="2:4">
      <c r="B438" t="s">
        <v>413</v>
      </c>
      <c r="C438">
        <v>6</v>
      </c>
      <c r="D438">
        <v>16</v>
      </c>
    </row>
    <row r="439" spans="2:4">
      <c r="B439" t="s">
        <v>422</v>
      </c>
      <c r="C439">
        <v>6</v>
      </c>
      <c r="D439">
        <v>16</v>
      </c>
    </row>
    <row r="440" spans="2:4">
      <c r="B440" t="s">
        <v>410</v>
      </c>
      <c r="C440">
        <v>6</v>
      </c>
      <c r="D440">
        <v>15</v>
      </c>
    </row>
    <row r="441" spans="2:4">
      <c r="B441" t="s">
        <v>455</v>
      </c>
      <c r="C441">
        <v>6</v>
      </c>
      <c r="D441">
        <v>10</v>
      </c>
    </row>
    <row r="442" spans="2:4">
      <c r="B442" t="s">
        <v>420</v>
      </c>
      <c r="C442">
        <v>6</v>
      </c>
      <c r="D442">
        <v>9</v>
      </c>
    </row>
    <row r="443" spans="2:4">
      <c r="B443" t="s">
        <v>439</v>
      </c>
      <c r="C443">
        <v>6</v>
      </c>
      <c r="D443">
        <v>7</v>
      </c>
    </row>
    <row r="444" spans="2:4">
      <c r="B444" t="s">
        <v>474</v>
      </c>
      <c r="C444">
        <v>6</v>
      </c>
      <c r="D444">
        <v>7</v>
      </c>
    </row>
    <row r="445" spans="2:4">
      <c r="B445" t="s">
        <v>441</v>
      </c>
      <c r="C445">
        <v>6</v>
      </c>
      <c r="D445">
        <v>6</v>
      </c>
    </row>
    <row r="446" spans="2:4">
      <c r="B446" t="s">
        <v>451</v>
      </c>
      <c r="C446">
        <v>6</v>
      </c>
      <c r="D446">
        <v>5</v>
      </c>
    </row>
    <row r="447" spans="2:4">
      <c r="B447" t="s">
        <v>417</v>
      </c>
      <c r="C447">
        <v>6</v>
      </c>
      <c r="D447">
        <v>3</v>
      </c>
    </row>
    <row r="448" spans="2:4">
      <c r="B448" t="s">
        <v>470</v>
      </c>
      <c r="C448">
        <v>6</v>
      </c>
      <c r="D448">
        <v>2</v>
      </c>
    </row>
    <row r="449" spans="2:4">
      <c r="B449" t="s">
        <v>436</v>
      </c>
      <c r="C449">
        <v>6</v>
      </c>
      <c r="D449">
        <v>2</v>
      </c>
    </row>
    <row r="450" spans="2:4">
      <c r="B450" t="s">
        <v>428</v>
      </c>
      <c r="C450">
        <v>7</v>
      </c>
      <c r="D450">
        <v>171</v>
      </c>
    </row>
    <row r="451" spans="2:4">
      <c r="B451" t="s">
        <v>449</v>
      </c>
      <c r="C451">
        <v>7</v>
      </c>
      <c r="D451">
        <v>126</v>
      </c>
    </row>
    <row r="452" spans="2:4">
      <c r="B452" t="s">
        <v>406</v>
      </c>
      <c r="C452">
        <v>7</v>
      </c>
      <c r="D452">
        <v>100</v>
      </c>
    </row>
    <row r="453" spans="2:4">
      <c r="B453" t="s">
        <v>470</v>
      </c>
      <c r="C453">
        <v>7</v>
      </c>
      <c r="D453">
        <v>100</v>
      </c>
    </row>
    <row r="454" spans="2:4">
      <c r="B454" t="s">
        <v>407</v>
      </c>
      <c r="C454">
        <v>7</v>
      </c>
      <c r="D454">
        <v>93</v>
      </c>
    </row>
    <row r="455" spans="2:4">
      <c r="B455" t="s">
        <v>426</v>
      </c>
      <c r="C455">
        <v>7</v>
      </c>
      <c r="D455">
        <v>64</v>
      </c>
    </row>
    <row r="456" spans="2:4">
      <c r="B456" t="s">
        <v>450</v>
      </c>
      <c r="C456">
        <v>7</v>
      </c>
      <c r="D456">
        <v>56</v>
      </c>
    </row>
    <row r="457" spans="2:4">
      <c r="B457" t="s">
        <v>411</v>
      </c>
      <c r="C457">
        <v>7</v>
      </c>
      <c r="D457">
        <v>54</v>
      </c>
    </row>
    <row r="458" spans="2:4">
      <c r="B458" t="s">
        <v>415</v>
      </c>
      <c r="C458">
        <v>7</v>
      </c>
      <c r="D458">
        <v>54</v>
      </c>
    </row>
    <row r="459" spans="2:4">
      <c r="B459" t="s">
        <v>403</v>
      </c>
      <c r="C459">
        <v>7</v>
      </c>
      <c r="D459">
        <v>52</v>
      </c>
    </row>
    <row r="460" spans="2:4">
      <c r="B460" t="s">
        <v>421</v>
      </c>
      <c r="C460">
        <v>7</v>
      </c>
      <c r="D460">
        <v>52</v>
      </c>
    </row>
    <row r="461" spans="2:4">
      <c r="B461" t="s">
        <v>434</v>
      </c>
      <c r="C461">
        <v>7</v>
      </c>
      <c r="D461">
        <v>50</v>
      </c>
    </row>
    <row r="462" spans="2:4">
      <c r="B462" t="s">
        <v>463</v>
      </c>
      <c r="C462">
        <v>7</v>
      </c>
      <c r="D462">
        <v>43</v>
      </c>
    </row>
    <row r="463" spans="2:4">
      <c r="B463" t="s">
        <v>418</v>
      </c>
      <c r="C463">
        <v>7</v>
      </c>
      <c r="D463">
        <v>43</v>
      </c>
    </row>
    <row r="464" spans="2:4">
      <c r="B464" t="s">
        <v>422</v>
      </c>
      <c r="C464">
        <v>7</v>
      </c>
      <c r="D464">
        <v>43</v>
      </c>
    </row>
    <row r="465" spans="2:4">
      <c r="B465" t="s">
        <v>455</v>
      </c>
      <c r="C465">
        <v>7</v>
      </c>
      <c r="D465">
        <v>40</v>
      </c>
    </row>
    <row r="466" spans="2:4">
      <c r="B466" t="s">
        <v>458</v>
      </c>
      <c r="C466">
        <v>7</v>
      </c>
      <c r="D466">
        <v>35</v>
      </c>
    </row>
    <row r="467" spans="2:4">
      <c r="B467" t="s">
        <v>404</v>
      </c>
      <c r="C467">
        <v>7</v>
      </c>
      <c r="D467">
        <v>35</v>
      </c>
    </row>
    <row r="468" spans="2:4">
      <c r="B468" t="s">
        <v>476</v>
      </c>
      <c r="C468">
        <v>7</v>
      </c>
      <c r="D468">
        <v>34</v>
      </c>
    </row>
    <row r="469" spans="2:4">
      <c r="B469" t="s">
        <v>408</v>
      </c>
      <c r="C469">
        <v>7</v>
      </c>
      <c r="D469">
        <v>34</v>
      </c>
    </row>
    <row r="470" spans="2:4">
      <c r="B470" t="s">
        <v>440</v>
      </c>
      <c r="C470">
        <v>7</v>
      </c>
      <c r="D470">
        <v>31</v>
      </c>
    </row>
    <row r="471" spans="2:4">
      <c r="B471" t="s">
        <v>430</v>
      </c>
      <c r="C471">
        <v>7</v>
      </c>
      <c r="D471">
        <v>30</v>
      </c>
    </row>
    <row r="472" spans="2:4">
      <c r="B472" t="s">
        <v>446</v>
      </c>
      <c r="C472">
        <v>7</v>
      </c>
      <c r="D472">
        <v>28</v>
      </c>
    </row>
    <row r="473" spans="2:4">
      <c r="B473" t="s">
        <v>432</v>
      </c>
      <c r="C473">
        <v>7</v>
      </c>
      <c r="D473">
        <v>25</v>
      </c>
    </row>
    <row r="474" spans="2:4">
      <c r="B474" t="s">
        <v>466</v>
      </c>
      <c r="C474">
        <v>7</v>
      </c>
      <c r="D474">
        <v>25</v>
      </c>
    </row>
    <row r="475" spans="2:4">
      <c r="B475" t="s">
        <v>405</v>
      </c>
      <c r="C475">
        <v>7</v>
      </c>
      <c r="D475">
        <v>24</v>
      </c>
    </row>
    <row r="476" spans="2:4">
      <c r="B476" t="s">
        <v>445</v>
      </c>
      <c r="C476">
        <v>7</v>
      </c>
      <c r="D476">
        <v>21</v>
      </c>
    </row>
    <row r="477" spans="2:4">
      <c r="B477" t="s">
        <v>433</v>
      </c>
      <c r="C477">
        <v>7</v>
      </c>
      <c r="D477">
        <v>20</v>
      </c>
    </row>
    <row r="478" spans="2:4">
      <c r="B478" t="s">
        <v>431</v>
      </c>
      <c r="C478">
        <v>7</v>
      </c>
      <c r="D478">
        <v>20</v>
      </c>
    </row>
    <row r="479" spans="2:4">
      <c r="B479" t="s">
        <v>442</v>
      </c>
      <c r="C479">
        <v>7</v>
      </c>
      <c r="D479">
        <v>18</v>
      </c>
    </row>
    <row r="480" spans="2:4">
      <c r="B480" t="s">
        <v>409</v>
      </c>
      <c r="C480">
        <v>7</v>
      </c>
      <c r="D480">
        <v>18</v>
      </c>
    </row>
    <row r="481" spans="2:4">
      <c r="B481" t="s">
        <v>423</v>
      </c>
      <c r="C481">
        <v>7</v>
      </c>
      <c r="D481">
        <v>12</v>
      </c>
    </row>
    <row r="482" spans="2:4">
      <c r="B482" t="s">
        <v>402</v>
      </c>
      <c r="C482">
        <v>7</v>
      </c>
      <c r="D482">
        <v>10</v>
      </c>
    </row>
    <row r="483" spans="2:4">
      <c r="B483" t="s">
        <v>435</v>
      </c>
      <c r="C483">
        <v>7</v>
      </c>
      <c r="D483">
        <v>10</v>
      </c>
    </row>
    <row r="484" spans="2:4">
      <c r="B484" t="s">
        <v>448</v>
      </c>
      <c r="C484">
        <v>7</v>
      </c>
      <c r="D484">
        <v>10</v>
      </c>
    </row>
    <row r="485" spans="2:4">
      <c r="B485" t="s">
        <v>416</v>
      </c>
      <c r="C485">
        <v>7</v>
      </c>
      <c r="D485">
        <v>10</v>
      </c>
    </row>
    <row r="486" spans="2:4">
      <c r="B486" t="s">
        <v>451</v>
      </c>
      <c r="C486">
        <v>7</v>
      </c>
      <c r="D486">
        <v>10</v>
      </c>
    </row>
    <row r="487" spans="2:4">
      <c r="B487" t="s">
        <v>475</v>
      </c>
      <c r="C487">
        <v>7</v>
      </c>
      <c r="D487">
        <v>10</v>
      </c>
    </row>
    <row r="488" spans="2:4">
      <c r="B488" t="s">
        <v>437</v>
      </c>
      <c r="C488">
        <v>7</v>
      </c>
      <c r="D488">
        <v>10</v>
      </c>
    </row>
    <row r="489" spans="2:4">
      <c r="B489" t="s">
        <v>424</v>
      </c>
      <c r="C489">
        <v>7</v>
      </c>
      <c r="D489">
        <v>6</v>
      </c>
    </row>
    <row r="490" spans="2:4">
      <c r="B490" t="s">
        <v>417</v>
      </c>
      <c r="C490">
        <v>7</v>
      </c>
      <c r="D490">
        <v>5</v>
      </c>
    </row>
    <row r="491" spans="2:4">
      <c r="B491" t="s">
        <v>465</v>
      </c>
      <c r="C491">
        <v>7</v>
      </c>
      <c r="D491">
        <v>3</v>
      </c>
    </row>
    <row r="492" spans="2:4">
      <c r="B492" t="s">
        <v>403</v>
      </c>
      <c r="C492">
        <v>8</v>
      </c>
      <c r="D492">
        <v>185</v>
      </c>
    </row>
    <row r="493" spans="2:4">
      <c r="B493" t="s">
        <v>405</v>
      </c>
      <c r="C493">
        <v>8</v>
      </c>
      <c r="D493">
        <v>165</v>
      </c>
    </row>
    <row r="494" spans="2:4">
      <c r="B494" t="s">
        <v>408</v>
      </c>
      <c r="C494">
        <v>8</v>
      </c>
      <c r="D494">
        <v>130</v>
      </c>
    </row>
    <row r="495" spans="2:4">
      <c r="B495" t="s">
        <v>423</v>
      </c>
      <c r="C495">
        <v>8</v>
      </c>
      <c r="D495">
        <v>125</v>
      </c>
    </row>
    <row r="496" spans="2:4">
      <c r="B496" t="s">
        <v>429</v>
      </c>
      <c r="C496">
        <v>8</v>
      </c>
      <c r="D496">
        <v>120</v>
      </c>
    </row>
    <row r="497" spans="2:4">
      <c r="B497" t="s">
        <v>425</v>
      </c>
      <c r="C497">
        <v>8</v>
      </c>
      <c r="D497">
        <v>115</v>
      </c>
    </row>
    <row r="498" spans="2:4">
      <c r="B498" t="s">
        <v>442</v>
      </c>
      <c r="C498">
        <v>8</v>
      </c>
      <c r="D498">
        <v>112</v>
      </c>
    </row>
    <row r="499" spans="2:4">
      <c r="B499" t="s">
        <v>446</v>
      </c>
      <c r="C499">
        <v>8</v>
      </c>
      <c r="D499">
        <v>110</v>
      </c>
    </row>
    <row r="500" spans="2:4">
      <c r="B500" t="s">
        <v>426</v>
      </c>
      <c r="C500">
        <v>8</v>
      </c>
      <c r="D500">
        <v>109</v>
      </c>
    </row>
    <row r="501" spans="2:4">
      <c r="B501" t="s">
        <v>432</v>
      </c>
      <c r="C501">
        <v>8</v>
      </c>
      <c r="D501">
        <v>101</v>
      </c>
    </row>
    <row r="502" spans="2:4">
      <c r="B502" t="s">
        <v>476</v>
      </c>
      <c r="C502">
        <v>8</v>
      </c>
      <c r="D502">
        <v>99</v>
      </c>
    </row>
    <row r="503" spans="2:4">
      <c r="B503" t="s">
        <v>421</v>
      </c>
      <c r="C503">
        <v>8</v>
      </c>
      <c r="D503">
        <v>92</v>
      </c>
    </row>
    <row r="504" spans="2:4">
      <c r="B504" t="s">
        <v>416</v>
      </c>
      <c r="C504">
        <v>8</v>
      </c>
      <c r="D504">
        <v>85</v>
      </c>
    </row>
    <row r="505" spans="2:4">
      <c r="B505" t="s">
        <v>451</v>
      </c>
      <c r="C505">
        <v>8</v>
      </c>
      <c r="D505">
        <v>85</v>
      </c>
    </row>
    <row r="506" spans="2:4">
      <c r="B506" t="s">
        <v>441</v>
      </c>
      <c r="C506">
        <v>8</v>
      </c>
      <c r="D506">
        <v>83</v>
      </c>
    </row>
    <row r="507" spans="2:4">
      <c r="B507" t="s">
        <v>417</v>
      </c>
      <c r="C507">
        <v>8</v>
      </c>
      <c r="D507">
        <v>80</v>
      </c>
    </row>
    <row r="508" spans="2:4">
      <c r="B508" t="s">
        <v>463</v>
      </c>
      <c r="C508">
        <v>8</v>
      </c>
      <c r="D508">
        <v>78</v>
      </c>
    </row>
    <row r="509" spans="2:4">
      <c r="B509" t="s">
        <v>459</v>
      </c>
      <c r="C509">
        <v>8</v>
      </c>
      <c r="D509">
        <v>77</v>
      </c>
    </row>
    <row r="510" spans="2:4">
      <c r="B510" t="s">
        <v>427</v>
      </c>
      <c r="C510">
        <v>8</v>
      </c>
      <c r="D510">
        <v>75</v>
      </c>
    </row>
    <row r="511" spans="2:4">
      <c r="B511" t="s">
        <v>407</v>
      </c>
      <c r="C511">
        <v>8</v>
      </c>
      <c r="D511">
        <v>75</v>
      </c>
    </row>
    <row r="512" spans="2:4">
      <c r="B512" t="s">
        <v>431</v>
      </c>
      <c r="C512">
        <v>8</v>
      </c>
      <c r="D512">
        <v>74</v>
      </c>
    </row>
    <row r="513" spans="2:4">
      <c r="B513" t="s">
        <v>414</v>
      </c>
      <c r="C513">
        <v>8</v>
      </c>
      <c r="D513">
        <v>70</v>
      </c>
    </row>
    <row r="514" spans="2:4">
      <c r="B514" t="s">
        <v>449</v>
      </c>
      <c r="C514">
        <v>8</v>
      </c>
      <c r="D514">
        <v>70</v>
      </c>
    </row>
    <row r="515" spans="2:4">
      <c r="B515" t="s">
        <v>460</v>
      </c>
      <c r="C515">
        <v>8</v>
      </c>
      <c r="D515">
        <v>68</v>
      </c>
    </row>
    <row r="516" spans="2:4">
      <c r="B516" t="s">
        <v>413</v>
      </c>
      <c r="C516">
        <v>8</v>
      </c>
      <c r="D516">
        <v>61</v>
      </c>
    </row>
    <row r="517" spans="2:4">
      <c r="B517" t="s">
        <v>433</v>
      </c>
      <c r="C517">
        <v>8</v>
      </c>
      <c r="D517">
        <v>60</v>
      </c>
    </row>
    <row r="518" spans="2:4">
      <c r="B518" t="s">
        <v>473</v>
      </c>
      <c r="C518">
        <v>8</v>
      </c>
      <c r="D518">
        <v>57</v>
      </c>
    </row>
    <row r="519" spans="2:4">
      <c r="B519" t="s">
        <v>439</v>
      </c>
      <c r="C519">
        <v>8</v>
      </c>
      <c r="D519">
        <v>56</v>
      </c>
    </row>
    <row r="520" spans="2:4">
      <c r="B520" t="s">
        <v>461</v>
      </c>
      <c r="C520">
        <v>8</v>
      </c>
      <c r="D520">
        <v>54</v>
      </c>
    </row>
    <row r="521" spans="2:4">
      <c r="B521" t="s">
        <v>454</v>
      </c>
      <c r="C521">
        <v>8</v>
      </c>
      <c r="D521">
        <v>54</v>
      </c>
    </row>
    <row r="522" spans="2:4">
      <c r="B522" t="s">
        <v>437</v>
      </c>
      <c r="C522">
        <v>8</v>
      </c>
      <c r="D522">
        <v>53</v>
      </c>
    </row>
    <row r="523" spans="2:4">
      <c r="B523" t="s">
        <v>445</v>
      </c>
      <c r="C523">
        <v>8</v>
      </c>
      <c r="D523">
        <v>51</v>
      </c>
    </row>
    <row r="524" spans="2:4">
      <c r="B524" t="s">
        <v>406</v>
      </c>
      <c r="C524">
        <v>8</v>
      </c>
      <c r="D524">
        <v>49</v>
      </c>
    </row>
    <row r="525" spans="2:4">
      <c r="B525" t="s">
        <v>430</v>
      </c>
      <c r="C525">
        <v>8</v>
      </c>
      <c r="D525">
        <v>47</v>
      </c>
    </row>
    <row r="526" spans="2:4">
      <c r="B526" t="s">
        <v>422</v>
      </c>
      <c r="C526">
        <v>8</v>
      </c>
      <c r="D526">
        <v>46</v>
      </c>
    </row>
    <row r="527" spans="2:4">
      <c r="B527" t="s">
        <v>443</v>
      </c>
      <c r="C527">
        <v>8</v>
      </c>
      <c r="D527">
        <v>44</v>
      </c>
    </row>
    <row r="528" spans="2:4">
      <c r="B528" t="s">
        <v>411</v>
      </c>
      <c r="C528">
        <v>8</v>
      </c>
      <c r="D528">
        <v>41</v>
      </c>
    </row>
    <row r="529" spans="2:4">
      <c r="B529" t="s">
        <v>409</v>
      </c>
      <c r="C529">
        <v>8</v>
      </c>
      <c r="D529">
        <v>40</v>
      </c>
    </row>
    <row r="530" spans="2:4">
      <c r="B530" t="s">
        <v>420</v>
      </c>
      <c r="C530">
        <v>8</v>
      </c>
      <c r="D530">
        <v>39</v>
      </c>
    </row>
    <row r="531" spans="2:4">
      <c r="B531" t="s">
        <v>404</v>
      </c>
      <c r="C531">
        <v>8</v>
      </c>
      <c r="D531">
        <v>35</v>
      </c>
    </row>
    <row r="532" spans="2:4">
      <c r="B532" t="s">
        <v>457</v>
      </c>
      <c r="C532">
        <v>8</v>
      </c>
      <c r="D532">
        <v>30</v>
      </c>
    </row>
    <row r="533" spans="2:4">
      <c r="B533" t="s">
        <v>465</v>
      </c>
      <c r="C533">
        <v>8</v>
      </c>
      <c r="D533">
        <v>30</v>
      </c>
    </row>
    <row r="534" spans="2:4">
      <c r="B534" t="s">
        <v>435</v>
      </c>
      <c r="C534">
        <v>8</v>
      </c>
      <c r="D534">
        <v>29</v>
      </c>
    </row>
    <row r="535" spans="2:4">
      <c r="B535" t="s">
        <v>470</v>
      </c>
      <c r="C535">
        <v>8</v>
      </c>
      <c r="D535">
        <v>28</v>
      </c>
    </row>
    <row r="536" spans="2:4">
      <c r="B536" t="s">
        <v>434</v>
      </c>
      <c r="C536">
        <v>8</v>
      </c>
      <c r="D536">
        <v>26</v>
      </c>
    </row>
    <row r="537" spans="2:4">
      <c r="B537" t="s">
        <v>475</v>
      </c>
      <c r="C537">
        <v>8</v>
      </c>
      <c r="D537">
        <v>25</v>
      </c>
    </row>
    <row r="538" spans="2:4">
      <c r="B538" t="s">
        <v>424</v>
      </c>
      <c r="C538">
        <v>8</v>
      </c>
      <c r="D538">
        <v>24</v>
      </c>
    </row>
    <row r="539" spans="2:4">
      <c r="B539" t="s">
        <v>447</v>
      </c>
      <c r="C539">
        <v>8</v>
      </c>
      <c r="D539">
        <v>20</v>
      </c>
    </row>
    <row r="540" spans="2:4">
      <c r="B540" t="s">
        <v>428</v>
      </c>
      <c r="C540">
        <v>8</v>
      </c>
      <c r="D540">
        <v>20</v>
      </c>
    </row>
    <row r="541" spans="2:4">
      <c r="B541" t="s">
        <v>401</v>
      </c>
      <c r="C541">
        <v>8</v>
      </c>
      <c r="D541">
        <v>15</v>
      </c>
    </row>
    <row r="542" spans="2:4">
      <c r="B542" t="s">
        <v>466</v>
      </c>
      <c r="C542">
        <v>8</v>
      </c>
      <c r="D542">
        <v>15</v>
      </c>
    </row>
    <row r="543" spans="2:4">
      <c r="B543" t="s">
        <v>418</v>
      </c>
      <c r="C543">
        <v>8</v>
      </c>
      <c r="D543">
        <v>15</v>
      </c>
    </row>
    <row r="544" spans="2:4">
      <c r="B544" t="s">
        <v>471</v>
      </c>
      <c r="C544">
        <v>8</v>
      </c>
      <c r="D544">
        <v>14</v>
      </c>
    </row>
    <row r="545" spans="2:4">
      <c r="B545" t="s">
        <v>438</v>
      </c>
      <c r="C545">
        <v>8</v>
      </c>
      <c r="D545">
        <v>12</v>
      </c>
    </row>
    <row r="546" spans="2:4">
      <c r="B546" t="s">
        <v>419</v>
      </c>
      <c r="C546">
        <v>8</v>
      </c>
      <c r="D546">
        <v>11</v>
      </c>
    </row>
    <row r="547" spans="2:4">
      <c r="B547" t="s">
        <v>402</v>
      </c>
      <c r="C547">
        <v>8</v>
      </c>
      <c r="D547">
        <v>10</v>
      </c>
    </row>
    <row r="548" spans="2:4">
      <c r="B548" t="s">
        <v>450</v>
      </c>
      <c r="C548">
        <v>8</v>
      </c>
      <c r="D548">
        <v>9</v>
      </c>
    </row>
    <row r="549" spans="2:4">
      <c r="B549" t="s">
        <v>448</v>
      </c>
      <c r="C549">
        <v>8</v>
      </c>
      <c r="D549">
        <v>6</v>
      </c>
    </row>
    <row r="550" spans="2:4">
      <c r="B550" t="s">
        <v>477</v>
      </c>
      <c r="C550">
        <v>8</v>
      </c>
      <c r="D550">
        <v>6</v>
      </c>
    </row>
    <row r="551" spans="2:4">
      <c r="B551" t="s">
        <v>472</v>
      </c>
      <c r="C551">
        <v>8</v>
      </c>
      <c r="D551">
        <v>1</v>
      </c>
    </row>
    <row r="552" spans="2:4">
      <c r="B552" t="s">
        <v>421</v>
      </c>
      <c r="C552">
        <v>9</v>
      </c>
      <c r="D552">
        <v>160</v>
      </c>
    </row>
    <row r="553" spans="2:4">
      <c r="B553" t="s">
        <v>404</v>
      </c>
      <c r="C553">
        <v>9</v>
      </c>
      <c r="D553">
        <v>147</v>
      </c>
    </row>
    <row r="554" spans="2:4">
      <c r="B554" t="s">
        <v>431</v>
      </c>
      <c r="C554">
        <v>9</v>
      </c>
      <c r="D554">
        <v>134</v>
      </c>
    </row>
    <row r="555" spans="2:4">
      <c r="B555" t="s">
        <v>411</v>
      </c>
      <c r="C555">
        <v>9</v>
      </c>
      <c r="D555">
        <v>109</v>
      </c>
    </row>
    <row r="556" spans="2:4">
      <c r="B556" t="s">
        <v>405</v>
      </c>
      <c r="C556">
        <v>9</v>
      </c>
      <c r="D556">
        <v>106</v>
      </c>
    </row>
    <row r="557" spans="2:4">
      <c r="B557" t="s">
        <v>435</v>
      </c>
      <c r="C557">
        <v>9</v>
      </c>
      <c r="D557">
        <v>103</v>
      </c>
    </row>
    <row r="558" spans="2:4">
      <c r="B558" t="s">
        <v>425</v>
      </c>
      <c r="C558">
        <v>9</v>
      </c>
      <c r="D558">
        <v>100</v>
      </c>
    </row>
    <row r="559" spans="2:4">
      <c r="B559" t="s">
        <v>443</v>
      </c>
      <c r="C559">
        <v>9</v>
      </c>
      <c r="D559">
        <v>97</v>
      </c>
    </row>
    <row r="560" spans="2:4">
      <c r="B560" t="s">
        <v>454</v>
      </c>
      <c r="C560">
        <v>9</v>
      </c>
      <c r="D560">
        <v>95</v>
      </c>
    </row>
    <row r="561" spans="2:4">
      <c r="B561" t="s">
        <v>409</v>
      </c>
      <c r="C561">
        <v>9</v>
      </c>
      <c r="D561">
        <v>94</v>
      </c>
    </row>
    <row r="562" spans="2:4">
      <c r="B562" t="s">
        <v>420</v>
      </c>
      <c r="C562">
        <v>9</v>
      </c>
      <c r="D562">
        <v>85</v>
      </c>
    </row>
    <row r="563" spans="2:4">
      <c r="B563" t="s">
        <v>406</v>
      </c>
      <c r="C563">
        <v>9</v>
      </c>
      <c r="D563">
        <v>80</v>
      </c>
    </row>
    <row r="564" spans="2:4">
      <c r="B564" t="s">
        <v>418</v>
      </c>
      <c r="C564">
        <v>9</v>
      </c>
      <c r="D564">
        <v>73</v>
      </c>
    </row>
    <row r="565" spans="2:4">
      <c r="B565" t="s">
        <v>440</v>
      </c>
      <c r="C565">
        <v>9</v>
      </c>
      <c r="D565">
        <v>71</v>
      </c>
    </row>
    <row r="566" spans="2:4">
      <c r="B566" t="s">
        <v>453</v>
      </c>
      <c r="C566">
        <v>9</v>
      </c>
      <c r="D566">
        <v>70</v>
      </c>
    </row>
    <row r="567" spans="2:4">
      <c r="B567" t="s">
        <v>458</v>
      </c>
      <c r="C567">
        <v>9</v>
      </c>
      <c r="D567">
        <v>69</v>
      </c>
    </row>
    <row r="568" spans="2:4">
      <c r="B568" t="s">
        <v>426</v>
      </c>
      <c r="C568">
        <v>9</v>
      </c>
      <c r="D568">
        <v>68</v>
      </c>
    </row>
    <row r="569" spans="2:4">
      <c r="B569" t="s">
        <v>410</v>
      </c>
      <c r="C569">
        <v>9</v>
      </c>
      <c r="D569">
        <v>65</v>
      </c>
    </row>
    <row r="570" spans="2:4">
      <c r="B570" t="s">
        <v>476</v>
      </c>
      <c r="C570">
        <v>9</v>
      </c>
      <c r="D570">
        <v>64</v>
      </c>
    </row>
    <row r="571" spans="2:4">
      <c r="B571" t="s">
        <v>463</v>
      </c>
      <c r="C571">
        <v>9</v>
      </c>
      <c r="D571">
        <v>63</v>
      </c>
    </row>
    <row r="572" spans="2:4">
      <c r="B572" t="s">
        <v>465</v>
      </c>
      <c r="C572">
        <v>9</v>
      </c>
      <c r="D572">
        <v>60</v>
      </c>
    </row>
    <row r="573" spans="2:4">
      <c r="B573" t="s">
        <v>412</v>
      </c>
      <c r="C573">
        <v>9</v>
      </c>
      <c r="D573">
        <v>60</v>
      </c>
    </row>
    <row r="574" spans="2:4">
      <c r="B574" t="s">
        <v>417</v>
      </c>
      <c r="C574">
        <v>9</v>
      </c>
      <c r="D574">
        <v>57</v>
      </c>
    </row>
    <row r="575" spans="2:4">
      <c r="B575" t="s">
        <v>428</v>
      </c>
      <c r="C575">
        <v>9</v>
      </c>
      <c r="D575">
        <v>55</v>
      </c>
    </row>
    <row r="576" spans="2:4">
      <c r="B576" t="s">
        <v>449</v>
      </c>
      <c r="C576">
        <v>9</v>
      </c>
      <c r="D576">
        <v>52</v>
      </c>
    </row>
    <row r="577" spans="2:4">
      <c r="B577" t="s">
        <v>432</v>
      </c>
      <c r="C577">
        <v>9</v>
      </c>
      <c r="D577">
        <v>45</v>
      </c>
    </row>
    <row r="578" spans="2:4">
      <c r="B578" t="s">
        <v>442</v>
      </c>
      <c r="C578">
        <v>9</v>
      </c>
      <c r="D578">
        <v>45</v>
      </c>
    </row>
    <row r="579" spans="2:4">
      <c r="B579" t="s">
        <v>460</v>
      </c>
      <c r="C579">
        <v>9</v>
      </c>
      <c r="D579">
        <v>43</v>
      </c>
    </row>
    <row r="580" spans="2:4">
      <c r="B580" t="s">
        <v>402</v>
      </c>
      <c r="C580">
        <v>9</v>
      </c>
      <c r="D580">
        <v>41</v>
      </c>
    </row>
    <row r="581" spans="2:4">
      <c r="B581" t="s">
        <v>437</v>
      </c>
      <c r="C581">
        <v>9</v>
      </c>
      <c r="D581">
        <v>41</v>
      </c>
    </row>
    <row r="582" spans="2:4">
      <c r="B582" t="s">
        <v>461</v>
      </c>
      <c r="C582">
        <v>9</v>
      </c>
      <c r="D582">
        <v>40</v>
      </c>
    </row>
    <row r="583" spans="2:4">
      <c r="B583" t="s">
        <v>423</v>
      </c>
      <c r="C583">
        <v>9</v>
      </c>
      <c r="D583">
        <v>40</v>
      </c>
    </row>
    <row r="584" spans="2:4">
      <c r="B584" t="s">
        <v>456</v>
      </c>
      <c r="C584">
        <v>9</v>
      </c>
      <c r="D584">
        <v>38</v>
      </c>
    </row>
    <row r="585" spans="2:4">
      <c r="B585" t="s">
        <v>438</v>
      </c>
      <c r="C585">
        <v>9</v>
      </c>
      <c r="D585">
        <v>36</v>
      </c>
    </row>
    <row r="586" spans="2:4">
      <c r="B586" t="s">
        <v>433</v>
      </c>
      <c r="C586">
        <v>9</v>
      </c>
      <c r="D586">
        <v>36</v>
      </c>
    </row>
    <row r="587" spans="2:4">
      <c r="B587" t="s">
        <v>444</v>
      </c>
      <c r="C587">
        <v>9</v>
      </c>
      <c r="D587">
        <v>36</v>
      </c>
    </row>
    <row r="588" spans="2:4">
      <c r="B588" t="s">
        <v>414</v>
      </c>
      <c r="C588">
        <v>9</v>
      </c>
      <c r="D588">
        <v>35</v>
      </c>
    </row>
    <row r="589" spans="2:4">
      <c r="B589" t="s">
        <v>439</v>
      </c>
      <c r="C589">
        <v>9</v>
      </c>
      <c r="D589">
        <v>35</v>
      </c>
    </row>
    <row r="590" spans="2:4">
      <c r="B590" t="s">
        <v>459</v>
      </c>
      <c r="C590">
        <v>9</v>
      </c>
      <c r="D590">
        <v>35</v>
      </c>
    </row>
    <row r="591" spans="2:4">
      <c r="B591" t="s">
        <v>447</v>
      </c>
      <c r="C591">
        <v>9</v>
      </c>
      <c r="D591">
        <v>35</v>
      </c>
    </row>
    <row r="592" spans="2:4">
      <c r="B592" t="s">
        <v>419</v>
      </c>
      <c r="C592">
        <v>9</v>
      </c>
      <c r="D592">
        <v>35</v>
      </c>
    </row>
    <row r="593" spans="2:4">
      <c r="B593" t="s">
        <v>422</v>
      </c>
      <c r="C593">
        <v>9</v>
      </c>
      <c r="D593">
        <v>32</v>
      </c>
    </row>
    <row r="594" spans="2:4">
      <c r="B594" t="s">
        <v>471</v>
      </c>
      <c r="C594">
        <v>9</v>
      </c>
      <c r="D594">
        <v>30</v>
      </c>
    </row>
    <row r="595" spans="2:4">
      <c r="B595" t="s">
        <v>408</v>
      </c>
      <c r="C595">
        <v>9</v>
      </c>
      <c r="D595">
        <v>30</v>
      </c>
    </row>
    <row r="596" spans="2:4">
      <c r="B596" t="s">
        <v>413</v>
      </c>
      <c r="C596">
        <v>9</v>
      </c>
      <c r="D596">
        <v>26</v>
      </c>
    </row>
    <row r="597" spans="2:4">
      <c r="B597" t="s">
        <v>468</v>
      </c>
      <c r="C597">
        <v>9</v>
      </c>
      <c r="D597">
        <v>25</v>
      </c>
    </row>
    <row r="598" spans="2:4">
      <c r="B598" t="s">
        <v>450</v>
      </c>
      <c r="C598">
        <v>9</v>
      </c>
      <c r="D598">
        <v>24</v>
      </c>
    </row>
    <row r="599" spans="2:4">
      <c r="B599" t="s">
        <v>403</v>
      </c>
      <c r="C599">
        <v>9</v>
      </c>
      <c r="D599">
        <v>21</v>
      </c>
    </row>
    <row r="600" spans="2:4">
      <c r="B600" t="s">
        <v>430</v>
      </c>
      <c r="C600">
        <v>9</v>
      </c>
      <c r="D600">
        <v>21</v>
      </c>
    </row>
    <row r="601" spans="2:4">
      <c r="B601" t="s">
        <v>464</v>
      </c>
      <c r="C601">
        <v>9</v>
      </c>
      <c r="D601">
        <v>20</v>
      </c>
    </row>
    <row r="602" spans="2:4">
      <c r="B602" t="s">
        <v>475</v>
      </c>
      <c r="C602">
        <v>9</v>
      </c>
      <c r="D602">
        <v>20</v>
      </c>
    </row>
    <row r="603" spans="2:4">
      <c r="B603" t="s">
        <v>416</v>
      </c>
      <c r="C603">
        <v>9</v>
      </c>
      <c r="D603">
        <v>20</v>
      </c>
    </row>
    <row r="604" spans="2:4">
      <c r="B604" t="s">
        <v>429</v>
      </c>
      <c r="C604">
        <v>9</v>
      </c>
      <c r="D604">
        <v>20</v>
      </c>
    </row>
    <row r="605" spans="2:4">
      <c r="B605" t="s">
        <v>455</v>
      </c>
      <c r="C605">
        <v>9</v>
      </c>
      <c r="D605">
        <v>20</v>
      </c>
    </row>
    <row r="606" spans="2:4">
      <c r="B606" t="s">
        <v>415</v>
      </c>
      <c r="C606">
        <v>9</v>
      </c>
      <c r="D606">
        <v>18</v>
      </c>
    </row>
    <row r="607" spans="2:4">
      <c r="B607" t="s">
        <v>407</v>
      </c>
      <c r="C607">
        <v>9</v>
      </c>
      <c r="D607">
        <v>17</v>
      </c>
    </row>
    <row r="608" spans="2:4">
      <c r="B608" t="s">
        <v>441</v>
      </c>
      <c r="C608">
        <v>9</v>
      </c>
      <c r="D608">
        <v>15</v>
      </c>
    </row>
    <row r="609" spans="2:4">
      <c r="B609" t="s">
        <v>427</v>
      </c>
      <c r="C609">
        <v>9</v>
      </c>
      <c r="D609">
        <v>15</v>
      </c>
    </row>
    <row r="610" spans="2:4">
      <c r="B610" t="s">
        <v>424</v>
      </c>
      <c r="C610">
        <v>9</v>
      </c>
      <c r="D610">
        <v>13</v>
      </c>
    </row>
    <row r="611" spans="2:4">
      <c r="B611" t="s">
        <v>434</v>
      </c>
      <c r="C611">
        <v>9</v>
      </c>
      <c r="D611">
        <v>10</v>
      </c>
    </row>
    <row r="612" spans="2:4">
      <c r="B612" t="s">
        <v>462</v>
      </c>
      <c r="C612">
        <v>9</v>
      </c>
      <c r="D612">
        <v>10</v>
      </c>
    </row>
    <row r="613" spans="2:4">
      <c r="B613" t="s">
        <v>457</v>
      </c>
      <c r="C613">
        <v>9</v>
      </c>
      <c r="D613">
        <v>6</v>
      </c>
    </row>
    <row r="614" spans="2:4">
      <c r="B614" t="s">
        <v>474</v>
      </c>
      <c r="C614">
        <v>9</v>
      </c>
      <c r="D614">
        <v>5</v>
      </c>
    </row>
    <row r="615" spans="2:4">
      <c r="B615" t="s">
        <v>470</v>
      </c>
      <c r="C615">
        <v>9</v>
      </c>
      <c r="D615">
        <v>5</v>
      </c>
    </row>
    <row r="616" spans="2:4">
      <c r="B616" t="s">
        <v>446</v>
      </c>
      <c r="C616">
        <v>9</v>
      </c>
      <c r="D616">
        <v>5</v>
      </c>
    </row>
    <row r="617" spans="2:4">
      <c r="B617" t="s">
        <v>451</v>
      </c>
      <c r="C617">
        <v>9</v>
      </c>
      <c r="D617">
        <v>2</v>
      </c>
    </row>
    <row r="618" spans="2:4">
      <c r="B618" t="s">
        <v>421</v>
      </c>
      <c r="C618">
        <v>10</v>
      </c>
      <c r="D618">
        <v>194</v>
      </c>
    </row>
    <row r="619" spans="2:4">
      <c r="B619" t="s">
        <v>445</v>
      </c>
      <c r="C619">
        <v>10</v>
      </c>
      <c r="D619">
        <v>178</v>
      </c>
    </row>
    <row r="620" spans="2:4">
      <c r="B620" t="s">
        <v>404</v>
      </c>
      <c r="C620">
        <v>10</v>
      </c>
      <c r="D620">
        <v>135</v>
      </c>
    </row>
    <row r="621" spans="2:4">
      <c r="B621" t="s">
        <v>405</v>
      </c>
      <c r="C621">
        <v>10</v>
      </c>
      <c r="D621">
        <v>135</v>
      </c>
    </row>
    <row r="622" spans="2:4">
      <c r="B622" t="s">
        <v>423</v>
      </c>
      <c r="C622">
        <v>10</v>
      </c>
      <c r="D622">
        <v>133</v>
      </c>
    </row>
    <row r="623" spans="2:4">
      <c r="B623" t="s">
        <v>437</v>
      </c>
      <c r="C623">
        <v>10</v>
      </c>
      <c r="D623">
        <v>113</v>
      </c>
    </row>
    <row r="624" spans="2:4">
      <c r="B624" t="s">
        <v>457</v>
      </c>
      <c r="C624">
        <v>10</v>
      </c>
      <c r="D624">
        <v>109</v>
      </c>
    </row>
    <row r="625" spans="2:4">
      <c r="B625" t="s">
        <v>456</v>
      </c>
      <c r="C625">
        <v>10</v>
      </c>
      <c r="D625">
        <v>105</v>
      </c>
    </row>
    <row r="626" spans="2:4">
      <c r="B626" t="s">
        <v>446</v>
      </c>
      <c r="C626">
        <v>10</v>
      </c>
      <c r="D626">
        <v>104</v>
      </c>
    </row>
    <row r="627" spans="2:4">
      <c r="B627" t="s">
        <v>438</v>
      </c>
      <c r="C627">
        <v>10</v>
      </c>
      <c r="D627">
        <v>100</v>
      </c>
    </row>
    <row r="628" spans="2:4">
      <c r="B628" t="s">
        <v>439</v>
      </c>
      <c r="C628">
        <v>10</v>
      </c>
      <c r="D628">
        <v>95</v>
      </c>
    </row>
    <row r="629" spans="2:4">
      <c r="B629" t="s">
        <v>432</v>
      </c>
      <c r="C629">
        <v>10</v>
      </c>
      <c r="D629">
        <v>88</v>
      </c>
    </row>
    <row r="630" spans="2:4">
      <c r="B630" t="s">
        <v>406</v>
      </c>
      <c r="C630">
        <v>10</v>
      </c>
      <c r="D630">
        <v>81</v>
      </c>
    </row>
    <row r="631" spans="2:4">
      <c r="B631" t="s">
        <v>443</v>
      </c>
      <c r="C631">
        <v>10</v>
      </c>
      <c r="D631">
        <v>72</v>
      </c>
    </row>
    <row r="632" spans="2:4">
      <c r="B632" t="s">
        <v>466</v>
      </c>
      <c r="C632">
        <v>10</v>
      </c>
      <c r="D632">
        <v>71</v>
      </c>
    </row>
    <row r="633" spans="2:4">
      <c r="B633" t="s">
        <v>402</v>
      </c>
      <c r="C633">
        <v>10</v>
      </c>
      <c r="D633">
        <v>71</v>
      </c>
    </row>
    <row r="634" spans="2:4">
      <c r="B634" t="s">
        <v>442</v>
      </c>
      <c r="C634">
        <v>10</v>
      </c>
      <c r="D634">
        <v>70</v>
      </c>
    </row>
    <row r="635" spans="2:4">
      <c r="B635" t="s">
        <v>408</v>
      </c>
      <c r="C635">
        <v>10</v>
      </c>
      <c r="D635">
        <v>70</v>
      </c>
    </row>
    <row r="636" spans="2:4">
      <c r="B636" t="s">
        <v>476</v>
      </c>
      <c r="C636">
        <v>10</v>
      </c>
      <c r="D636">
        <v>68</v>
      </c>
    </row>
    <row r="637" spans="2:4">
      <c r="B637" t="s">
        <v>416</v>
      </c>
      <c r="C637">
        <v>10</v>
      </c>
      <c r="D637">
        <v>68</v>
      </c>
    </row>
    <row r="638" spans="2:4">
      <c r="B638" t="s">
        <v>430</v>
      </c>
      <c r="C638">
        <v>10</v>
      </c>
      <c r="D638">
        <v>67</v>
      </c>
    </row>
    <row r="639" spans="2:4">
      <c r="B639" t="s">
        <v>449</v>
      </c>
      <c r="C639">
        <v>10</v>
      </c>
      <c r="D639">
        <v>65</v>
      </c>
    </row>
    <row r="640" spans="2:4">
      <c r="B640" t="s">
        <v>458</v>
      </c>
      <c r="C640">
        <v>10</v>
      </c>
      <c r="D640">
        <v>64</v>
      </c>
    </row>
    <row r="641" spans="2:4">
      <c r="B641" t="s">
        <v>412</v>
      </c>
      <c r="C641">
        <v>10</v>
      </c>
      <c r="D641">
        <v>62</v>
      </c>
    </row>
    <row r="642" spans="2:4">
      <c r="B642" t="s">
        <v>403</v>
      </c>
      <c r="C642">
        <v>10</v>
      </c>
      <c r="D642">
        <v>53</v>
      </c>
    </row>
    <row r="643" spans="2:4">
      <c r="B643" t="s">
        <v>465</v>
      </c>
      <c r="C643">
        <v>10</v>
      </c>
      <c r="D643">
        <v>50</v>
      </c>
    </row>
    <row r="644" spans="2:4">
      <c r="B644" t="s">
        <v>452</v>
      </c>
      <c r="C644">
        <v>10</v>
      </c>
      <c r="D644">
        <v>50</v>
      </c>
    </row>
    <row r="645" spans="2:4">
      <c r="B645" t="s">
        <v>475</v>
      </c>
      <c r="C645">
        <v>10</v>
      </c>
      <c r="D645">
        <v>50</v>
      </c>
    </row>
    <row r="646" spans="2:4">
      <c r="B646" t="s">
        <v>440</v>
      </c>
      <c r="C646">
        <v>10</v>
      </c>
      <c r="D646">
        <v>49</v>
      </c>
    </row>
    <row r="647" spans="2:4">
      <c r="B647" t="s">
        <v>444</v>
      </c>
      <c r="C647">
        <v>10</v>
      </c>
      <c r="D647">
        <v>48</v>
      </c>
    </row>
    <row r="648" spans="2:4">
      <c r="B648" t="s">
        <v>428</v>
      </c>
      <c r="C648">
        <v>10</v>
      </c>
      <c r="D648">
        <v>48</v>
      </c>
    </row>
    <row r="649" spans="2:4">
      <c r="B649" t="s">
        <v>417</v>
      </c>
      <c r="C649">
        <v>10</v>
      </c>
      <c r="D649">
        <v>46</v>
      </c>
    </row>
    <row r="650" spans="2:4">
      <c r="B650" t="s">
        <v>419</v>
      </c>
      <c r="C650">
        <v>10</v>
      </c>
      <c r="D650">
        <v>45</v>
      </c>
    </row>
    <row r="651" spans="2:4">
      <c r="B651" t="s">
        <v>415</v>
      </c>
      <c r="C651">
        <v>10</v>
      </c>
      <c r="D651">
        <v>43</v>
      </c>
    </row>
    <row r="652" spans="2:4">
      <c r="B652" t="s">
        <v>461</v>
      </c>
      <c r="C652">
        <v>10</v>
      </c>
      <c r="D652">
        <v>41</v>
      </c>
    </row>
    <row r="653" spans="2:4">
      <c r="B653" t="s">
        <v>418</v>
      </c>
      <c r="C653">
        <v>10</v>
      </c>
      <c r="D653">
        <v>40</v>
      </c>
    </row>
    <row r="654" spans="2:4">
      <c r="B654" t="s">
        <v>407</v>
      </c>
      <c r="C654">
        <v>10</v>
      </c>
      <c r="D654">
        <v>40</v>
      </c>
    </row>
    <row r="655" spans="2:4">
      <c r="B655" t="s">
        <v>425</v>
      </c>
      <c r="C655">
        <v>10</v>
      </c>
      <c r="D655">
        <v>40</v>
      </c>
    </row>
    <row r="656" spans="2:4">
      <c r="B656" t="s">
        <v>448</v>
      </c>
      <c r="C656">
        <v>10</v>
      </c>
      <c r="D656">
        <v>40</v>
      </c>
    </row>
    <row r="657" spans="2:4">
      <c r="B657" t="s">
        <v>462</v>
      </c>
      <c r="C657">
        <v>10</v>
      </c>
      <c r="D657">
        <v>37</v>
      </c>
    </row>
    <row r="658" spans="2:4">
      <c r="B658" t="s">
        <v>469</v>
      </c>
      <c r="C658">
        <v>10</v>
      </c>
      <c r="D658">
        <v>34</v>
      </c>
    </row>
    <row r="659" spans="2:4">
      <c r="B659" t="s">
        <v>450</v>
      </c>
      <c r="C659">
        <v>10</v>
      </c>
      <c r="D659">
        <v>33</v>
      </c>
    </row>
    <row r="660" spans="2:4">
      <c r="B660" t="s">
        <v>447</v>
      </c>
      <c r="C660">
        <v>10</v>
      </c>
      <c r="D660">
        <v>32</v>
      </c>
    </row>
    <row r="661" spans="2:4">
      <c r="B661" t="s">
        <v>410</v>
      </c>
      <c r="C661">
        <v>10</v>
      </c>
      <c r="D661">
        <v>32</v>
      </c>
    </row>
    <row r="662" spans="2:4">
      <c r="B662" t="s">
        <v>420</v>
      </c>
      <c r="C662">
        <v>10</v>
      </c>
      <c r="D662">
        <v>31</v>
      </c>
    </row>
    <row r="663" spans="2:4">
      <c r="B663" t="s">
        <v>453</v>
      </c>
      <c r="C663">
        <v>10</v>
      </c>
      <c r="D663">
        <v>30</v>
      </c>
    </row>
    <row r="664" spans="2:4">
      <c r="B664" t="s">
        <v>441</v>
      </c>
      <c r="C664">
        <v>10</v>
      </c>
      <c r="D664">
        <v>30</v>
      </c>
    </row>
    <row r="665" spans="2:4">
      <c r="B665" t="s">
        <v>409</v>
      </c>
      <c r="C665">
        <v>10</v>
      </c>
      <c r="D665">
        <v>25</v>
      </c>
    </row>
    <row r="666" spans="2:4">
      <c r="B666" t="s">
        <v>474</v>
      </c>
      <c r="C666">
        <v>10</v>
      </c>
      <c r="D666">
        <v>25</v>
      </c>
    </row>
    <row r="667" spans="2:4">
      <c r="B667" t="s">
        <v>413</v>
      </c>
      <c r="C667">
        <v>10</v>
      </c>
      <c r="D667">
        <v>21</v>
      </c>
    </row>
    <row r="668" spans="2:4">
      <c r="B668" t="s">
        <v>435</v>
      </c>
      <c r="C668">
        <v>10</v>
      </c>
      <c r="D668">
        <v>20</v>
      </c>
    </row>
    <row r="669" spans="2:4">
      <c r="B669" t="s">
        <v>411</v>
      </c>
      <c r="C669">
        <v>10</v>
      </c>
      <c r="D669">
        <v>20</v>
      </c>
    </row>
    <row r="670" spans="2:4">
      <c r="B670" t="s">
        <v>454</v>
      </c>
      <c r="C670">
        <v>10</v>
      </c>
      <c r="D670">
        <v>20</v>
      </c>
    </row>
    <row r="671" spans="2:4">
      <c r="B671" t="s">
        <v>401</v>
      </c>
      <c r="C671">
        <v>10</v>
      </c>
      <c r="D671">
        <v>15</v>
      </c>
    </row>
    <row r="672" spans="2:4">
      <c r="B672" t="s">
        <v>455</v>
      </c>
      <c r="C672">
        <v>10</v>
      </c>
      <c r="D672">
        <v>14</v>
      </c>
    </row>
    <row r="673" spans="2:4">
      <c r="B673" t="s">
        <v>433</v>
      </c>
      <c r="C673">
        <v>10</v>
      </c>
      <c r="D673">
        <v>12</v>
      </c>
    </row>
    <row r="674" spans="2:4">
      <c r="B674" t="s">
        <v>434</v>
      </c>
      <c r="C674">
        <v>10</v>
      </c>
      <c r="D674">
        <v>12</v>
      </c>
    </row>
    <row r="675" spans="2:4">
      <c r="B675" t="s">
        <v>426</v>
      </c>
      <c r="C675">
        <v>10</v>
      </c>
      <c r="D675">
        <v>10</v>
      </c>
    </row>
    <row r="676" spans="2:4">
      <c r="B676" t="s">
        <v>470</v>
      </c>
      <c r="C676">
        <v>10</v>
      </c>
      <c r="D676">
        <v>9</v>
      </c>
    </row>
    <row r="677" spans="2:4">
      <c r="B677" t="s">
        <v>422</v>
      </c>
      <c r="C677">
        <v>10</v>
      </c>
      <c r="D677">
        <v>4</v>
      </c>
    </row>
    <row r="678" spans="2:4">
      <c r="B678" t="s">
        <v>420</v>
      </c>
      <c r="C678">
        <v>11</v>
      </c>
      <c r="D678">
        <v>188</v>
      </c>
    </row>
    <row r="679" spans="2:4">
      <c r="B679" t="s">
        <v>403</v>
      </c>
      <c r="C679">
        <v>11</v>
      </c>
      <c r="D679">
        <v>168</v>
      </c>
    </row>
    <row r="680" spans="2:4">
      <c r="B680" t="s">
        <v>428</v>
      </c>
      <c r="C680">
        <v>11</v>
      </c>
      <c r="D680">
        <v>155</v>
      </c>
    </row>
    <row r="681" spans="2:4">
      <c r="B681" t="s">
        <v>408</v>
      </c>
      <c r="C681">
        <v>11</v>
      </c>
      <c r="D681">
        <v>153</v>
      </c>
    </row>
    <row r="682" spans="2:4">
      <c r="B682" t="s">
        <v>461</v>
      </c>
      <c r="C682">
        <v>11</v>
      </c>
      <c r="D682">
        <v>130</v>
      </c>
    </row>
    <row r="683" spans="2:4">
      <c r="B683" t="s">
        <v>418</v>
      </c>
      <c r="C683">
        <v>11</v>
      </c>
      <c r="D683">
        <v>123</v>
      </c>
    </row>
    <row r="684" spans="2:4">
      <c r="B684" t="s">
        <v>419</v>
      </c>
      <c r="C684">
        <v>11</v>
      </c>
      <c r="D684">
        <v>119</v>
      </c>
    </row>
    <row r="685" spans="2:4">
      <c r="B685" t="s">
        <v>439</v>
      </c>
      <c r="C685">
        <v>11</v>
      </c>
      <c r="D685">
        <v>116</v>
      </c>
    </row>
    <row r="686" spans="2:4">
      <c r="B686" t="s">
        <v>464</v>
      </c>
      <c r="C686">
        <v>11</v>
      </c>
      <c r="D686">
        <v>110</v>
      </c>
    </row>
    <row r="687" spans="2:4">
      <c r="B687" t="s">
        <v>431</v>
      </c>
      <c r="C687">
        <v>11</v>
      </c>
      <c r="D687">
        <v>110</v>
      </c>
    </row>
    <row r="688" spans="2:4">
      <c r="B688" t="s">
        <v>432</v>
      </c>
      <c r="C688">
        <v>11</v>
      </c>
      <c r="D688">
        <v>105</v>
      </c>
    </row>
    <row r="689" spans="2:4">
      <c r="B689" t="s">
        <v>444</v>
      </c>
      <c r="C689">
        <v>11</v>
      </c>
      <c r="D689">
        <v>105</v>
      </c>
    </row>
    <row r="690" spans="2:4">
      <c r="B690" t="s">
        <v>430</v>
      </c>
      <c r="C690">
        <v>11</v>
      </c>
      <c r="D690">
        <v>105</v>
      </c>
    </row>
    <row r="691" spans="2:4">
      <c r="B691" t="s">
        <v>412</v>
      </c>
      <c r="C691">
        <v>11</v>
      </c>
      <c r="D691">
        <v>104</v>
      </c>
    </row>
    <row r="692" spans="2:4">
      <c r="B692" t="s">
        <v>424</v>
      </c>
      <c r="C692">
        <v>11</v>
      </c>
      <c r="D692">
        <v>100</v>
      </c>
    </row>
    <row r="693" spans="2:4">
      <c r="B693" t="s">
        <v>404</v>
      </c>
      <c r="C693">
        <v>11</v>
      </c>
      <c r="D693">
        <v>96</v>
      </c>
    </row>
    <row r="694" spans="2:4">
      <c r="B694" t="s">
        <v>425</v>
      </c>
      <c r="C694">
        <v>11</v>
      </c>
      <c r="D694">
        <v>94</v>
      </c>
    </row>
    <row r="695" spans="2:4">
      <c r="B695" t="s">
        <v>449</v>
      </c>
      <c r="C695">
        <v>11</v>
      </c>
      <c r="D695">
        <v>92</v>
      </c>
    </row>
    <row r="696" spans="2:4">
      <c r="B696" t="s">
        <v>414</v>
      </c>
      <c r="C696">
        <v>11</v>
      </c>
      <c r="D696">
        <v>90</v>
      </c>
    </row>
    <row r="697" spans="2:4">
      <c r="B697" t="s">
        <v>411</v>
      </c>
      <c r="C697">
        <v>11</v>
      </c>
      <c r="D697">
        <v>90</v>
      </c>
    </row>
    <row r="698" spans="2:4">
      <c r="B698" t="s">
        <v>426</v>
      </c>
      <c r="C698">
        <v>11</v>
      </c>
      <c r="D698">
        <v>86</v>
      </c>
    </row>
    <row r="699" spans="2:4">
      <c r="B699" t="s">
        <v>407</v>
      </c>
      <c r="C699">
        <v>11</v>
      </c>
      <c r="D699">
        <v>83</v>
      </c>
    </row>
    <row r="700" spans="2:4">
      <c r="B700" t="s">
        <v>466</v>
      </c>
      <c r="C700">
        <v>11</v>
      </c>
      <c r="D700">
        <v>83</v>
      </c>
    </row>
    <row r="701" spans="2:4">
      <c r="B701" t="s">
        <v>406</v>
      </c>
      <c r="C701">
        <v>11</v>
      </c>
      <c r="D701">
        <v>80</v>
      </c>
    </row>
    <row r="702" spans="2:4">
      <c r="B702" t="s">
        <v>445</v>
      </c>
      <c r="C702">
        <v>11</v>
      </c>
      <c r="D702">
        <v>74</v>
      </c>
    </row>
    <row r="703" spans="2:4">
      <c r="B703" t="s">
        <v>440</v>
      </c>
      <c r="C703">
        <v>11</v>
      </c>
      <c r="D703">
        <v>74</v>
      </c>
    </row>
    <row r="704" spans="2:4">
      <c r="B704" t="s">
        <v>410</v>
      </c>
      <c r="C704">
        <v>11</v>
      </c>
      <c r="D704">
        <v>74</v>
      </c>
    </row>
    <row r="705" spans="2:4">
      <c r="B705" t="s">
        <v>417</v>
      </c>
      <c r="C705">
        <v>11</v>
      </c>
      <c r="D705">
        <v>73</v>
      </c>
    </row>
    <row r="706" spans="2:4">
      <c r="B706" t="s">
        <v>457</v>
      </c>
      <c r="C706">
        <v>11</v>
      </c>
      <c r="D706">
        <v>72</v>
      </c>
    </row>
    <row r="707" spans="2:4">
      <c r="B707" t="s">
        <v>409</v>
      </c>
      <c r="C707">
        <v>11</v>
      </c>
      <c r="D707">
        <v>72</v>
      </c>
    </row>
    <row r="708" spans="2:4">
      <c r="B708" t="s">
        <v>456</v>
      </c>
      <c r="C708">
        <v>11</v>
      </c>
      <c r="D708">
        <v>72</v>
      </c>
    </row>
    <row r="709" spans="2:4">
      <c r="B709" t="s">
        <v>435</v>
      </c>
      <c r="C709">
        <v>11</v>
      </c>
      <c r="D709">
        <v>70</v>
      </c>
    </row>
    <row r="710" spans="2:4">
      <c r="B710" t="s">
        <v>434</v>
      </c>
      <c r="C710">
        <v>11</v>
      </c>
      <c r="D710">
        <v>65</v>
      </c>
    </row>
    <row r="711" spans="2:4">
      <c r="B711" t="s">
        <v>422</v>
      </c>
      <c r="C711">
        <v>11</v>
      </c>
      <c r="D711">
        <v>61</v>
      </c>
    </row>
    <row r="712" spans="2:4">
      <c r="B712" t="s">
        <v>433</v>
      </c>
      <c r="C712">
        <v>11</v>
      </c>
      <c r="D712">
        <v>61</v>
      </c>
    </row>
    <row r="713" spans="2:4">
      <c r="B713" t="s">
        <v>423</v>
      </c>
      <c r="C713">
        <v>11</v>
      </c>
      <c r="D713">
        <v>61</v>
      </c>
    </row>
    <row r="714" spans="2:4">
      <c r="B714" t="s">
        <v>447</v>
      </c>
      <c r="C714">
        <v>11</v>
      </c>
      <c r="D714">
        <v>58</v>
      </c>
    </row>
    <row r="715" spans="2:4">
      <c r="B715" t="s">
        <v>451</v>
      </c>
      <c r="C715">
        <v>11</v>
      </c>
      <c r="D715">
        <v>56</v>
      </c>
    </row>
    <row r="716" spans="2:4">
      <c r="B716" t="s">
        <v>416</v>
      </c>
      <c r="C716">
        <v>11</v>
      </c>
      <c r="D716">
        <v>55</v>
      </c>
    </row>
    <row r="717" spans="2:4">
      <c r="B717" t="s">
        <v>463</v>
      </c>
      <c r="C717">
        <v>11</v>
      </c>
      <c r="D717">
        <v>55</v>
      </c>
    </row>
    <row r="718" spans="2:4">
      <c r="B718" t="s">
        <v>402</v>
      </c>
      <c r="C718">
        <v>11</v>
      </c>
      <c r="D718">
        <v>52</v>
      </c>
    </row>
    <row r="719" spans="2:4">
      <c r="B719" t="s">
        <v>436</v>
      </c>
      <c r="C719">
        <v>11</v>
      </c>
      <c r="D719">
        <v>50</v>
      </c>
    </row>
    <row r="720" spans="2:4">
      <c r="B720" t="s">
        <v>465</v>
      </c>
      <c r="C720">
        <v>11</v>
      </c>
      <c r="D720">
        <v>50</v>
      </c>
    </row>
    <row r="721" spans="2:4">
      <c r="B721" t="s">
        <v>443</v>
      </c>
      <c r="C721">
        <v>11</v>
      </c>
      <c r="D721">
        <v>47</v>
      </c>
    </row>
    <row r="722" spans="2:4">
      <c r="B722" t="s">
        <v>438</v>
      </c>
      <c r="C722">
        <v>11</v>
      </c>
      <c r="D722">
        <v>40</v>
      </c>
    </row>
    <row r="723" spans="2:4">
      <c r="B723" t="s">
        <v>462</v>
      </c>
      <c r="C723">
        <v>11</v>
      </c>
      <c r="D723">
        <v>40</v>
      </c>
    </row>
    <row r="724" spans="2:4">
      <c r="B724" t="s">
        <v>458</v>
      </c>
      <c r="C724">
        <v>11</v>
      </c>
      <c r="D724">
        <v>34</v>
      </c>
    </row>
    <row r="725" spans="2:4">
      <c r="B725" t="s">
        <v>442</v>
      </c>
      <c r="C725">
        <v>11</v>
      </c>
      <c r="D725">
        <v>30</v>
      </c>
    </row>
    <row r="726" spans="2:4">
      <c r="B726" t="s">
        <v>472</v>
      </c>
      <c r="C726">
        <v>11</v>
      </c>
      <c r="D726">
        <v>28</v>
      </c>
    </row>
    <row r="727" spans="2:4">
      <c r="B727" t="s">
        <v>470</v>
      </c>
      <c r="C727">
        <v>11</v>
      </c>
      <c r="D727">
        <v>28</v>
      </c>
    </row>
    <row r="728" spans="2:4">
      <c r="B728" t="s">
        <v>455</v>
      </c>
      <c r="C728">
        <v>11</v>
      </c>
      <c r="D728">
        <v>26</v>
      </c>
    </row>
    <row r="729" spans="2:4">
      <c r="B729" t="s">
        <v>477</v>
      </c>
      <c r="C729">
        <v>11</v>
      </c>
      <c r="D729">
        <v>24</v>
      </c>
    </row>
    <row r="730" spans="2:4">
      <c r="B730" t="s">
        <v>401</v>
      </c>
      <c r="C730">
        <v>11</v>
      </c>
      <c r="D730">
        <v>20</v>
      </c>
    </row>
    <row r="731" spans="2:4">
      <c r="B731" t="s">
        <v>450</v>
      </c>
      <c r="C731">
        <v>11</v>
      </c>
      <c r="D731">
        <v>19</v>
      </c>
    </row>
    <row r="732" spans="2:4">
      <c r="B732" t="s">
        <v>429</v>
      </c>
      <c r="C732">
        <v>11</v>
      </c>
      <c r="D732">
        <v>15</v>
      </c>
    </row>
    <row r="733" spans="2:4">
      <c r="B733" t="s">
        <v>460</v>
      </c>
      <c r="C733">
        <v>11</v>
      </c>
      <c r="D733">
        <v>12</v>
      </c>
    </row>
    <row r="734" spans="2:4">
      <c r="B734" t="s">
        <v>448</v>
      </c>
      <c r="C734">
        <v>11</v>
      </c>
      <c r="D734">
        <v>10</v>
      </c>
    </row>
    <row r="735" spans="2:4">
      <c r="B735" t="s">
        <v>446</v>
      </c>
      <c r="C735">
        <v>11</v>
      </c>
      <c r="D735">
        <v>10</v>
      </c>
    </row>
    <row r="736" spans="2:4">
      <c r="B736" t="s">
        <v>405</v>
      </c>
      <c r="C736">
        <v>11</v>
      </c>
      <c r="D736">
        <v>10</v>
      </c>
    </row>
    <row r="737" spans="2:4">
      <c r="B737" t="s">
        <v>476</v>
      </c>
      <c r="C737">
        <v>11</v>
      </c>
      <c r="D737">
        <v>8</v>
      </c>
    </row>
    <row r="738" spans="2:4">
      <c r="B738" t="s">
        <v>453</v>
      </c>
      <c r="C738">
        <v>11</v>
      </c>
      <c r="D738">
        <v>6</v>
      </c>
    </row>
    <row r="739" spans="2:4">
      <c r="B739" t="s">
        <v>452</v>
      </c>
      <c r="C739">
        <v>11</v>
      </c>
      <c r="D739">
        <v>6</v>
      </c>
    </row>
    <row r="740" spans="2:4">
      <c r="B740" t="s">
        <v>471</v>
      </c>
      <c r="C740">
        <v>11</v>
      </c>
      <c r="D740">
        <v>6</v>
      </c>
    </row>
    <row r="741" spans="2:4">
      <c r="B741" t="s">
        <v>475</v>
      </c>
      <c r="C741">
        <v>11</v>
      </c>
      <c r="D741">
        <v>5</v>
      </c>
    </row>
    <row r="742" spans="2:4">
      <c r="B742" t="s">
        <v>437</v>
      </c>
      <c r="C742">
        <v>11</v>
      </c>
      <c r="D742">
        <v>4</v>
      </c>
    </row>
    <row r="743" spans="2:4">
      <c r="B743" t="s">
        <v>459</v>
      </c>
      <c r="C743">
        <v>11</v>
      </c>
      <c r="D743">
        <v>4</v>
      </c>
    </row>
    <row r="744" spans="2:4">
      <c r="B744" t="s">
        <v>467</v>
      </c>
      <c r="C744">
        <v>11</v>
      </c>
      <c r="D744">
        <v>4</v>
      </c>
    </row>
    <row r="745" spans="2:4">
      <c r="B745" t="s">
        <v>405</v>
      </c>
      <c r="C745">
        <v>12</v>
      </c>
      <c r="D745">
        <v>208</v>
      </c>
    </row>
    <row r="746" spans="2:4">
      <c r="B746" t="s">
        <v>416</v>
      </c>
      <c r="C746">
        <v>12</v>
      </c>
      <c r="D746">
        <v>186</v>
      </c>
    </row>
    <row r="747" spans="2:4">
      <c r="B747" t="s">
        <v>436</v>
      </c>
      <c r="C747">
        <v>12</v>
      </c>
      <c r="D747">
        <v>140</v>
      </c>
    </row>
    <row r="748" spans="2:4">
      <c r="B748" t="s">
        <v>428</v>
      </c>
      <c r="C748">
        <v>12</v>
      </c>
      <c r="D748">
        <v>131</v>
      </c>
    </row>
    <row r="749" spans="2:4">
      <c r="B749" t="s">
        <v>406</v>
      </c>
      <c r="C749">
        <v>12</v>
      </c>
      <c r="D749">
        <v>117</v>
      </c>
    </row>
    <row r="750" spans="2:4">
      <c r="B750" t="s">
        <v>461</v>
      </c>
      <c r="C750">
        <v>12</v>
      </c>
      <c r="D750">
        <v>114</v>
      </c>
    </row>
    <row r="751" spans="2:4">
      <c r="B751" t="s">
        <v>415</v>
      </c>
      <c r="C751">
        <v>12</v>
      </c>
      <c r="D751">
        <v>109</v>
      </c>
    </row>
    <row r="752" spans="2:4">
      <c r="B752" t="s">
        <v>470</v>
      </c>
      <c r="C752">
        <v>12</v>
      </c>
      <c r="D752">
        <v>107</v>
      </c>
    </row>
    <row r="753" spans="2:4">
      <c r="B753" t="s">
        <v>437</v>
      </c>
      <c r="C753">
        <v>12</v>
      </c>
      <c r="D753">
        <v>104</v>
      </c>
    </row>
    <row r="754" spans="2:4">
      <c r="B754" t="s">
        <v>421</v>
      </c>
      <c r="C754">
        <v>12</v>
      </c>
      <c r="D754">
        <v>103</v>
      </c>
    </row>
    <row r="755" spans="2:4">
      <c r="B755" t="s">
        <v>403</v>
      </c>
      <c r="C755">
        <v>12</v>
      </c>
      <c r="D755">
        <v>93</v>
      </c>
    </row>
    <row r="756" spans="2:4">
      <c r="B756" t="s">
        <v>440</v>
      </c>
      <c r="C756">
        <v>12</v>
      </c>
      <c r="D756">
        <v>93</v>
      </c>
    </row>
    <row r="757" spans="2:4">
      <c r="B757" t="s">
        <v>435</v>
      </c>
      <c r="C757">
        <v>12</v>
      </c>
      <c r="D757">
        <v>85</v>
      </c>
    </row>
    <row r="758" spans="2:4">
      <c r="B758" t="s">
        <v>464</v>
      </c>
      <c r="C758">
        <v>12</v>
      </c>
      <c r="D758">
        <v>84</v>
      </c>
    </row>
    <row r="759" spans="2:4">
      <c r="B759" t="s">
        <v>458</v>
      </c>
      <c r="C759">
        <v>12</v>
      </c>
      <c r="D759">
        <v>80</v>
      </c>
    </row>
    <row r="760" spans="2:4">
      <c r="B760" t="s">
        <v>430</v>
      </c>
      <c r="C760">
        <v>12</v>
      </c>
      <c r="D760">
        <v>80</v>
      </c>
    </row>
    <row r="761" spans="2:4">
      <c r="B761" t="s">
        <v>401</v>
      </c>
      <c r="C761">
        <v>12</v>
      </c>
      <c r="D761">
        <v>80</v>
      </c>
    </row>
    <row r="762" spans="2:4">
      <c r="B762" t="s">
        <v>426</v>
      </c>
      <c r="C762">
        <v>12</v>
      </c>
      <c r="D762">
        <v>77</v>
      </c>
    </row>
    <row r="763" spans="2:4">
      <c r="B763" t="s">
        <v>455</v>
      </c>
      <c r="C763">
        <v>12</v>
      </c>
      <c r="D763">
        <v>76</v>
      </c>
    </row>
    <row r="764" spans="2:4">
      <c r="B764" t="s">
        <v>468</v>
      </c>
      <c r="C764">
        <v>12</v>
      </c>
      <c r="D764">
        <v>75</v>
      </c>
    </row>
    <row r="765" spans="2:4">
      <c r="B765" t="s">
        <v>443</v>
      </c>
      <c r="C765">
        <v>12</v>
      </c>
      <c r="D765">
        <v>75</v>
      </c>
    </row>
    <row r="766" spans="2:4">
      <c r="B766" t="s">
        <v>423</v>
      </c>
      <c r="C766">
        <v>12</v>
      </c>
      <c r="D766">
        <v>74</v>
      </c>
    </row>
    <row r="767" spans="2:4">
      <c r="B767" t="s">
        <v>445</v>
      </c>
      <c r="C767">
        <v>12</v>
      </c>
      <c r="D767">
        <v>72</v>
      </c>
    </row>
    <row r="768" spans="2:4">
      <c r="B768" t="s">
        <v>462</v>
      </c>
      <c r="C768">
        <v>12</v>
      </c>
      <c r="D768">
        <v>69</v>
      </c>
    </row>
    <row r="769" spans="2:4">
      <c r="B769" t="s">
        <v>410</v>
      </c>
      <c r="C769">
        <v>12</v>
      </c>
      <c r="D769">
        <v>68</v>
      </c>
    </row>
    <row r="770" spans="2:4">
      <c r="B770" t="s">
        <v>451</v>
      </c>
      <c r="C770">
        <v>12</v>
      </c>
      <c r="D770">
        <v>64</v>
      </c>
    </row>
    <row r="771" spans="2:4">
      <c r="B771" t="s">
        <v>447</v>
      </c>
      <c r="C771">
        <v>12</v>
      </c>
      <c r="D771">
        <v>60</v>
      </c>
    </row>
    <row r="772" spans="2:4">
      <c r="B772" t="s">
        <v>433</v>
      </c>
      <c r="C772">
        <v>12</v>
      </c>
      <c r="D772">
        <v>60</v>
      </c>
    </row>
    <row r="773" spans="2:4">
      <c r="B773" t="s">
        <v>467</v>
      </c>
      <c r="C773">
        <v>12</v>
      </c>
      <c r="D773">
        <v>60</v>
      </c>
    </row>
    <row r="774" spans="2:4">
      <c r="B774" t="s">
        <v>408</v>
      </c>
      <c r="C774">
        <v>12</v>
      </c>
      <c r="D774">
        <v>56</v>
      </c>
    </row>
    <row r="775" spans="2:4">
      <c r="B775" t="s">
        <v>407</v>
      </c>
      <c r="C775">
        <v>12</v>
      </c>
      <c r="D775">
        <v>50</v>
      </c>
    </row>
    <row r="776" spans="2:4">
      <c r="B776" t="s">
        <v>419</v>
      </c>
      <c r="C776">
        <v>12</v>
      </c>
      <c r="D776">
        <v>48</v>
      </c>
    </row>
    <row r="777" spans="2:4">
      <c r="B777" t="s">
        <v>432</v>
      </c>
      <c r="C777">
        <v>12</v>
      </c>
      <c r="D777">
        <v>46</v>
      </c>
    </row>
    <row r="778" spans="2:4">
      <c r="B778" t="s">
        <v>463</v>
      </c>
      <c r="C778">
        <v>12</v>
      </c>
      <c r="D778">
        <v>45</v>
      </c>
    </row>
    <row r="779" spans="2:4">
      <c r="B779" t="s">
        <v>409</v>
      </c>
      <c r="C779">
        <v>12</v>
      </c>
      <c r="D779">
        <v>45</v>
      </c>
    </row>
    <row r="780" spans="2:4">
      <c r="B780" t="s">
        <v>411</v>
      </c>
      <c r="C780">
        <v>12</v>
      </c>
      <c r="D780">
        <v>42</v>
      </c>
    </row>
    <row r="781" spans="2:4">
      <c r="B781" t="s">
        <v>434</v>
      </c>
      <c r="C781">
        <v>12</v>
      </c>
      <c r="D781">
        <v>41</v>
      </c>
    </row>
    <row r="782" spans="2:4">
      <c r="B782" t="s">
        <v>439</v>
      </c>
      <c r="C782">
        <v>12</v>
      </c>
      <c r="D782">
        <v>40</v>
      </c>
    </row>
    <row r="783" spans="2:4">
      <c r="B783" t="s">
        <v>404</v>
      </c>
      <c r="C783">
        <v>12</v>
      </c>
      <c r="D783">
        <v>39</v>
      </c>
    </row>
    <row r="784" spans="2:4">
      <c r="B784" t="s">
        <v>402</v>
      </c>
      <c r="C784">
        <v>12</v>
      </c>
      <c r="D784">
        <v>39</v>
      </c>
    </row>
    <row r="785" spans="2:4">
      <c r="B785" t="s">
        <v>449</v>
      </c>
      <c r="C785">
        <v>12</v>
      </c>
      <c r="D785">
        <v>38</v>
      </c>
    </row>
    <row r="786" spans="2:4">
      <c r="B786" t="s">
        <v>446</v>
      </c>
      <c r="C786">
        <v>12</v>
      </c>
      <c r="D786">
        <v>37</v>
      </c>
    </row>
    <row r="787" spans="2:4">
      <c r="B787" t="s">
        <v>441</v>
      </c>
      <c r="C787">
        <v>12</v>
      </c>
      <c r="D787">
        <v>35</v>
      </c>
    </row>
    <row r="788" spans="2:4">
      <c r="B788" t="s">
        <v>431</v>
      </c>
      <c r="C788">
        <v>12</v>
      </c>
      <c r="D788">
        <v>35</v>
      </c>
    </row>
    <row r="789" spans="2:4">
      <c r="B789" t="s">
        <v>422</v>
      </c>
      <c r="C789">
        <v>12</v>
      </c>
      <c r="D789">
        <v>30</v>
      </c>
    </row>
    <row r="790" spans="2:4">
      <c r="B790" t="s">
        <v>417</v>
      </c>
      <c r="C790">
        <v>12</v>
      </c>
      <c r="D790">
        <v>30</v>
      </c>
    </row>
    <row r="791" spans="2:4">
      <c r="B791" t="s">
        <v>453</v>
      </c>
      <c r="C791">
        <v>12</v>
      </c>
      <c r="D791">
        <v>30</v>
      </c>
    </row>
    <row r="792" spans="2:4">
      <c r="B792" t="s">
        <v>466</v>
      </c>
      <c r="C792">
        <v>12</v>
      </c>
      <c r="D792">
        <v>30</v>
      </c>
    </row>
    <row r="793" spans="2:4">
      <c r="B793" t="s">
        <v>456</v>
      </c>
      <c r="C793">
        <v>12</v>
      </c>
      <c r="D793">
        <v>28</v>
      </c>
    </row>
    <row r="794" spans="2:4">
      <c r="B794" t="s">
        <v>450</v>
      </c>
      <c r="C794">
        <v>12</v>
      </c>
      <c r="D794">
        <v>21</v>
      </c>
    </row>
    <row r="795" spans="2:4">
      <c r="B795" t="s">
        <v>429</v>
      </c>
      <c r="C795">
        <v>12</v>
      </c>
      <c r="D795">
        <v>20</v>
      </c>
    </row>
    <row r="796" spans="2:4">
      <c r="B796" t="s">
        <v>471</v>
      </c>
      <c r="C796">
        <v>12</v>
      </c>
      <c r="D796">
        <v>20</v>
      </c>
    </row>
    <row r="797" spans="2:4">
      <c r="B797" t="s">
        <v>425</v>
      </c>
      <c r="C797">
        <v>12</v>
      </c>
      <c r="D797">
        <v>15</v>
      </c>
    </row>
    <row r="798" spans="2:4">
      <c r="B798" t="s">
        <v>465</v>
      </c>
      <c r="C798">
        <v>12</v>
      </c>
      <c r="D798">
        <v>15</v>
      </c>
    </row>
    <row r="799" spans="2:4">
      <c r="B799" t="s">
        <v>442</v>
      </c>
      <c r="C799">
        <v>12</v>
      </c>
      <c r="D799">
        <v>14</v>
      </c>
    </row>
    <row r="800" spans="2:4">
      <c r="B800" t="s">
        <v>448</v>
      </c>
      <c r="C800">
        <v>12</v>
      </c>
      <c r="D800">
        <v>10</v>
      </c>
    </row>
    <row r="801" spans="2:4">
      <c r="B801" t="s">
        <v>444</v>
      </c>
      <c r="C801">
        <v>12</v>
      </c>
      <c r="D801">
        <v>10</v>
      </c>
    </row>
    <row r="802" spans="2:4">
      <c r="B802" t="s">
        <v>460</v>
      </c>
      <c r="C802">
        <v>12</v>
      </c>
      <c r="D802">
        <v>10</v>
      </c>
    </row>
    <row r="803" spans="2:4">
      <c r="B803" t="s">
        <v>424</v>
      </c>
      <c r="C803">
        <v>12</v>
      </c>
      <c r="D803">
        <v>9</v>
      </c>
    </row>
    <row r="804" spans="2:4">
      <c r="B804" t="s">
        <v>473</v>
      </c>
      <c r="C804">
        <v>12</v>
      </c>
      <c r="D804">
        <v>5</v>
      </c>
    </row>
    <row r="805" spans="2:4">
      <c r="B805" t="s">
        <v>420</v>
      </c>
      <c r="C805">
        <v>12</v>
      </c>
      <c r="D805">
        <v>5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A061C-11FF-4C0C-95E2-D11ADA9DC755}">
  <dimension ref="B31:Q111"/>
  <sheetViews>
    <sheetView topLeftCell="A70" zoomScaleNormal="100" workbookViewId="0">
      <selection activeCell="J76" sqref="J76"/>
    </sheetView>
  </sheetViews>
  <sheetFormatPr defaultRowHeight="15"/>
  <cols>
    <col min="2" max="2" width="11.85546875" bestFit="1" customWidth="1"/>
    <col min="3" max="3" width="31.85546875" bestFit="1" customWidth="1"/>
    <col min="4" max="4" width="10.7109375" bestFit="1" customWidth="1"/>
    <col min="5" max="5" width="22" bestFit="1" customWidth="1"/>
    <col min="8" max="8" width="22" bestFit="1" customWidth="1"/>
    <col min="9" max="9" width="15.140625" bestFit="1" customWidth="1"/>
    <col min="10" max="10" width="21.5703125" bestFit="1" customWidth="1"/>
    <col min="11" max="11" width="10" bestFit="1" customWidth="1"/>
    <col min="12" max="12" width="11.28515625" bestFit="1" customWidth="1"/>
  </cols>
  <sheetData>
    <row r="31" spans="3:3" ht="15.75" thickBot="1"/>
    <row r="32" spans="3:3" ht="21.75" thickBot="1">
      <c r="C32" s="54" t="s">
        <v>28</v>
      </c>
    </row>
    <row r="34" spans="2:9">
      <c r="B34" t="s">
        <v>395</v>
      </c>
      <c r="C34" t="s">
        <v>396</v>
      </c>
      <c r="D34" t="s">
        <v>400</v>
      </c>
      <c r="E34" t="s">
        <v>495</v>
      </c>
      <c r="H34" s="13" t="s">
        <v>129</v>
      </c>
      <c r="I34" t="s">
        <v>478</v>
      </c>
    </row>
    <row r="35" spans="2:9">
      <c r="B35">
        <v>38</v>
      </c>
      <c r="C35" s="67" t="s">
        <v>401</v>
      </c>
      <c r="D35">
        <v>141396.74</v>
      </c>
      <c r="E35" s="67" t="s">
        <v>496</v>
      </c>
      <c r="H35" s="14">
        <v>72</v>
      </c>
      <c r="I35" s="67">
        <v>24900.13</v>
      </c>
    </row>
    <row r="36" spans="2:9">
      <c r="B36">
        <v>29</v>
      </c>
      <c r="C36" s="67" t="s">
        <v>402</v>
      </c>
      <c r="D36">
        <v>80368.67</v>
      </c>
      <c r="E36" s="67" t="s">
        <v>496</v>
      </c>
      <c r="H36" s="14">
        <v>64</v>
      </c>
      <c r="I36" s="67">
        <v>21957.97</v>
      </c>
    </row>
    <row r="37" spans="2:9">
      <c r="B37">
        <v>59</v>
      </c>
      <c r="C37" s="67" t="s">
        <v>403</v>
      </c>
      <c r="D37">
        <v>71155.7</v>
      </c>
      <c r="E37" s="67" t="s">
        <v>496</v>
      </c>
      <c r="H37" s="14">
        <v>62</v>
      </c>
      <c r="I37" s="67">
        <v>47234.97</v>
      </c>
    </row>
    <row r="38" spans="2:9">
      <c r="B38">
        <v>62</v>
      </c>
      <c r="C38" s="67" t="s">
        <v>404</v>
      </c>
      <c r="D38">
        <v>47234.97</v>
      </c>
      <c r="E38" s="67" t="s">
        <v>496</v>
      </c>
      <c r="H38" s="14">
        <v>60</v>
      </c>
      <c r="I38" s="67">
        <v>46825.48</v>
      </c>
    </row>
    <row r="39" spans="2:9">
      <c r="B39">
        <v>60</v>
      </c>
      <c r="C39" s="67" t="s">
        <v>405</v>
      </c>
      <c r="D39">
        <v>46825.48</v>
      </c>
      <c r="E39" s="67" t="s">
        <v>496</v>
      </c>
      <c r="H39" s="14">
        <v>59</v>
      </c>
      <c r="I39" s="67">
        <v>71155.7</v>
      </c>
    </row>
    <row r="40" spans="2:9">
      <c r="B40">
        <v>56</v>
      </c>
      <c r="C40" s="67" t="s">
        <v>406</v>
      </c>
      <c r="D40">
        <v>42593.06</v>
      </c>
      <c r="E40" s="67" t="s">
        <v>496</v>
      </c>
      <c r="H40" s="14">
        <v>56</v>
      </c>
      <c r="I40" s="67">
        <v>42593.06</v>
      </c>
    </row>
    <row r="41" spans="2:9">
      <c r="B41">
        <v>51</v>
      </c>
      <c r="C41" s="67" t="s">
        <v>407</v>
      </c>
      <c r="D41">
        <v>41819.65</v>
      </c>
      <c r="E41" s="67" t="s">
        <v>496</v>
      </c>
      <c r="H41" s="14">
        <v>51</v>
      </c>
      <c r="I41" s="67">
        <v>41819.65</v>
      </c>
    </row>
    <row r="42" spans="2:9">
      <c r="B42">
        <v>17</v>
      </c>
      <c r="C42" s="67" t="s">
        <v>408</v>
      </c>
      <c r="D42">
        <v>32698.38</v>
      </c>
      <c r="E42" s="67" t="s">
        <v>497</v>
      </c>
      <c r="H42" s="14">
        <v>43</v>
      </c>
      <c r="I42" s="67">
        <v>23526.7</v>
      </c>
    </row>
    <row r="43" spans="2:9">
      <c r="B43">
        <v>18</v>
      </c>
      <c r="C43" s="67" t="s">
        <v>409</v>
      </c>
      <c r="D43">
        <v>29171.88</v>
      </c>
      <c r="E43" s="67" t="s">
        <v>497</v>
      </c>
      <c r="H43" s="14">
        <v>38</v>
      </c>
      <c r="I43" s="67">
        <v>141396.74</v>
      </c>
    </row>
    <row r="44" spans="2:9">
      <c r="B44">
        <v>28</v>
      </c>
      <c r="C44" s="67" t="s">
        <v>410</v>
      </c>
      <c r="D44">
        <v>25696.639999999999</v>
      </c>
      <c r="E44" s="67" t="s">
        <v>497</v>
      </c>
      <c r="H44" s="14">
        <v>29</v>
      </c>
      <c r="I44" s="67">
        <v>80368.67</v>
      </c>
    </row>
    <row r="45" spans="2:9">
      <c r="B45">
        <v>72</v>
      </c>
      <c r="C45" s="67" t="s">
        <v>411</v>
      </c>
      <c r="D45">
        <v>24900.13</v>
      </c>
      <c r="E45" s="67" t="s">
        <v>497</v>
      </c>
      <c r="H45" s="14">
        <v>28</v>
      </c>
      <c r="I45" s="67">
        <v>25696.639999999999</v>
      </c>
    </row>
    <row r="46" spans="2:9">
      <c r="B46">
        <v>43</v>
      </c>
      <c r="C46" s="67" t="s">
        <v>412</v>
      </c>
      <c r="D46">
        <v>23526.7</v>
      </c>
      <c r="E46" s="67" t="s">
        <v>497</v>
      </c>
      <c r="H46" s="14">
        <v>20</v>
      </c>
      <c r="I46" s="67">
        <v>22563.360000000001</v>
      </c>
    </row>
    <row r="47" spans="2:9">
      <c r="B47">
        <v>20</v>
      </c>
      <c r="C47" s="67" t="s">
        <v>413</v>
      </c>
      <c r="D47">
        <v>22563.360000000001</v>
      </c>
      <c r="E47" s="67" t="s">
        <v>497</v>
      </c>
      <c r="H47" s="14">
        <v>18</v>
      </c>
      <c r="I47" s="67">
        <v>29171.88</v>
      </c>
    </row>
    <row r="48" spans="2:9">
      <c r="B48">
        <v>7</v>
      </c>
      <c r="C48" s="67" t="s">
        <v>414</v>
      </c>
      <c r="D48">
        <v>22044.3</v>
      </c>
      <c r="E48" s="67" t="s">
        <v>497</v>
      </c>
      <c r="H48" s="14">
        <v>17</v>
      </c>
      <c r="I48" s="67">
        <v>32698.38</v>
      </c>
    </row>
    <row r="49" spans="2:9">
      <c r="B49">
        <v>64</v>
      </c>
      <c r="C49" s="67" t="s">
        <v>415</v>
      </c>
      <c r="D49">
        <v>21957.97</v>
      </c>
      <c r="E49" s="67" t="s">
        <v>497</v>
      </c>
      <c r="H49" s="14">
        <v>7</v>
      </c>
      <c r="I49" s="67">
        <v>22044.3</v>
      </c>
    </row>
    <row r="50" spans="2:9">
      <c r="B50">
        <v>69</v>
      </c>
      <c r="C50" s="67" t="s">
        <v>416</v>
      </c>
      <c r="D50">
        <v>21942.36</v>
      </c>
      <c r="E50" s="67" t="s">
        <v>497</v>
      </c>
      <c r="H50" s="14" t="s">
        <v>130</v>
      </c>
      <c r="I50" s="67">
        <v>673953.63000000012</v>
      </c>
    </row>
    <row r="51" spans="2:9">
      <c r="B51">
        <v>10</v>
      </c>
      <c r="C51" s="67" t="s">
        <v>417</v>
      </c>
      <c r="D51">
        <v>20867.34</v>
      </c>
      <c r="E51" s="67" t="s">
        <v>497</v>
      </c>
    </row>
    <row r="52" spans="2:9">
      <c r="B52">
        <v>53</v>
      </c>
      <c r="C52" s="67" t="s">
        <v>418</v>
      </c>
      <c r="D52">
        <v>20574.169999999998</v>
      </c>
      <c r="E52" s="67" t="s">
        <v>497</v>
      </c>
    </row>
    <row r="53" spans="2:9">
      <c r="B53">
        <v>26</v>
      </c>
      <c r="C53" s="67" t="s">
        <v>419</v>
      </c>
      <c r="D53">
        <v>19849.14</v>
      </c>
      <c r="E53" s="67" t="s">
        <v>497</v>
      </c>
    </row>
    <row r="54" spans="2:9">
      <c r="B54">
        <v>71</v>
      </c>
      <c r="C54" s="67" t="s">
        <v>420</v>
      </c>
      <c r="D54">
        <v>19551.03</v>
      </c>
      <c r="E54" s="67" t="s">
        <v>497</v>
      </c>
    </row>
    <row r="55" spans="2:9">
      <c r="B55">
        <v>40</v>
      </c>
      <c r="C55" s="67" t="s">
        <v>421</v>
      </c>
      <c r="D55">
        <v>17910.63</v>
      </c>
      <c r="E55" s="67" t="s">
        <v>497</v>
      </c>
    </row>
    <row r="56" spans="2:9">
      <c r="B56">
        <v>55</v>
      </c>
      <c r="C56" s="67" t="s">
        <v>422</v>
      </c>
      <c r="D56">
        <v>17426.400000000001</v>
      </c>
      <c r="E56" s="67" t="s">
        <v>497</v>
      </c>
    </row>
    <row r="57" spans="2:9">
      <c r="B57">
        <v>16</v>
      </c>
      <c r="C57" s="67" t="s">
        <v>423</v>
      </c>
      <c r="D57">
        <v>17215.78</v>
      </c>
      <c r="E57" s="67" t="s">
        <v>497</v>
      </c>
    </row>
    <row r="58" spans="2:9">
      <c r="B58">
        <v>63</v>
      </c>
      <c r="C58" s="67" t="s">
        <v>424</v>
      </c>
      <c r="D58">
        <v>16701.099999999999</v>
      </c>
      <c r="E58" s="67" t="s">
        <v>497</v>
      </c>
    </row>
    <row r="59" spans="2:9">
      <c r="B59">
        <v>2</v>
      </c>
      <c r="C59" s="67" t="s">
        <v>425</v>
      </c>
      <c r="D59">
        <v>16355.96</v>
      </c>
      <c r="E59" s="67" t="s">
        <v>497</v>
      </c>
    </row>
    <row r="60" spans="2:9">
      <c r="B60">
        <v>76</v>
      </c>
      <c r="C60" s="67" t="s">
        <v>426</v>
      </c>
      <c r="D60">
        <v>15760.44</v>
      </c>
      <c r="E60" s="67" t="s">
        <v>497</v>
      </c>
    </row>
    <row r="61" spans="2:9">
      <c r="B61">
        <v>27</v>
      </c>
      <c r="C61" s="67" t="s">
        <v>427</v>
      </c>
      <c r="D61">
        <v>15099.88</v>
      </c>
      <c r="E61" s="67" t="s">
        <v>497</v>
      </c>
    </row>
    <row r="62" spans="2:9">
      <c r="B62">
        <v>31</v>
      </c>
      <c r="C62" s="67" t="s">
        <v>428</v>
      </c>
      <c r="D62">
        <v>14920.88</v>
      </c>
      <c r="E62" s="67" t="s">
        <v>497</v>
      </c>
    </row>
    <row r="63" spans="2:9">
      <c r="B63">
        <v>61</v>
      </c>
      <c r="C63" s="67" t="s">
        <v>429</v>
      </c>
      <c r="D63">
        <v>14352.6</v>
      </c>
      <c r="E63" s="67" t="s">
        <v>497</v>
      </c>
    </row>
    <row r="64" spans="2:9">
      <c r="B64">
        <v>65</v>
      </c>
      <c r="C64" s="67" t="s">
        <v>430</v>
      </c>
      <c r="D64">
        <v>13869.89</v>
      </c>
      <c r="E64" s="67" t="s">
        <v>497</v>
      </c>
    </row>
    <row r="65" spans="2:17">
      <c r="B65">
        <v>35</v>
      </c>
      <c r="C65" s="67" t="s">
        <v>431</v>
      </c>
      <c r="D65">
        <v>13644</v>
      </c>
      <c r="E65" s="67" t="s">
        <v>497</v>
      </c>
    </row>
    <row r="66" spans="2:17">
      <c r="B66">
        <v>36</v>
      </c>
      <c r="C66" s="67" t="s">
        <v>432</v>
      </c>
      <c r="D66">
        <v>13458.46</v>
      </c>
      <c r="E66" s="67" t="s">
        <v>497</v>
      </c>
    </row>
    <row r="67" spans="2:17">
      <c r="B67">
        <v>30</v>
      </c>
      <c r="C67" s="67" t="s">
        <v>433</v>
      </c>
      <c r="D67">
        <v>13424.2</v>
      </c>
      <c r="E67" s="67" t="s">
        <v>497</v>
      </c>
    </row>
    <row r="68" spans="2:17">
      <c r="B68">
        <v>11</v>
      </c>
      <c r="C68" s="67" t="s">
        <v>434</v>
      </c>
      <c r="D68">
        <v>12901.77</v>
      </c>
      <c r="E68" s="67" t="s">
        <v>497</v>
      </c>
    </row>
    <row r="69" spans="2:17">
      <c r="B69">
        <v>1</v>
      </c>
      <c r="C69" s="67" t="s">
        <v>435</v>
      </c>
      <c r="D69">
        <v>12788.1</v>
      </c>
      <c r="E69" s="67" t="s">
        <v>497</v>
      </c>
    </row>
    <row r="70" spans="2:17">
      <c r="B70">
        <v>8</v>
      </c>
      <c r="C70" s="67" t="s">
        <v>436</v>
      </c>
      <c r="D70">
        <v>12772</v>
      </c>
      <c r="E70" s="67" t="s">
        <v>497</v>
      </c>
    </row>
    <row r="71" spans="2:17">
      <c r="B71">
        <v>39</v>
      </c>
      <c r="C71" s="67" t="s">
        <v>437</v>
      </c>
      <c r="D71">
        <v>12294.54</v>
      </c>
      <c r="E71" s="67" t="s">
        <v>497</v>
      </c>
    </row>
    <row r="72" spans="2:17">
      <c r="B72">
        <v>12</v>
      </c>
      <c r="C72" s="67" t="s">
        <v>438</v>
      </c>
      <c r="D72">
        <v>12257.66</v>
      </c>
      <c r="E72" s="67" t="s">
        <v>497</v>
      </c>
    </row>
    <row r="73" spans="2:17">
      <c r="B73">
        <v>70</v>
      </c>
      <c r="C73" s="67" t="s">
        <v>439</v>
      </c>
      <c r="D73">
        <v>10672.65</v>
      </c>
      <c r="E73" s="67" t="s">
        <v>497</v>
      </c>
    </row>
    <row r="74" spans="2:17">
      <c r="B74">
        <v>44</v>
      </c>
      <c r="C74" s="67" t="s">
        <v>440</v>
      </c>
      <c r="D74">
        <v>9915.9500000000007</v>
      </c>
      <c r="E74" s="67" t="s">
        <v>497</v>
      </c>
    </row>
    <row r="75" spans="2:17" ht="15.75" thickBot="1">
      <c r="B75">
        <v>49</v>
      </c>
      <c r="C75" s="67" t="s">
        <v>441</v>
      </c>
      <c r="D75">
        <v>9244.6</v>
      </c>
      <c r="E75" s="67" t="s">
        <v>497</v>
      </c>
    </row>
    <row r="76" spans="2:17" ht="19.5" thickBot="1">
      <c r="B76">
        <v>77</v>
      </c>
      <c r="C76" s="67" t="s">
        <v>442</v>
      </c>
      <c r="D76">
        <v>9171.6299999999992</v>
      </c>
      <c r="E76" s="67" t="s">
        <v>497</v>
      </c>
      <c r="J76" s="68" t="s">
        <v>29</v>
      </c>
    </row>
    <row r="77" spans="2:17">
      <c r="B77">
        <v>21</v>
      </c>
      <c r="C77" s="67" t="s">
        <v>443</v>
      </c>
      <c r="D77">
        <v>9104</v>
      </c>
      <c r="E77" s="67" t="s">
        <v>497</v>
      </c>
      <c r="G77" s="20">
        <v>1</v>
      </c>
      <c r="H77" s="21" t="s">
        <v>499</v>
      </c>
      <c r="I77" s="21"/>
      <c r="J77" s="21"/>
      <c r="K77" s="21"/>
      <c r="L77" s="21"/>
      <c r="M77" s="21"/>
      <c r="N77" s="21"/>
      <c r="O77" s="21"/>
      <c r="P77" s="21"/>
      <c r="Q77" s="22"/>
    </row>
    <row r="78" spans="2:17">
      <c r="B78">
        <v>68</v>
      </c>
      <c r="C78" s="67" t="s">
        <v>444</v>
      </c>
      <c r="D78">
        <v>8714</v>
      </c>
      <c r="E78" s="67" t="s">
        <v>497</v>
      </c>
      <c r="G78" s="23">
        <v>2</v>
      </c>
      <c r="H78" s="69" t="s">
        <v>500</v>
      </c>
      <c r="I78" s="69"/>
      <c r="J78" s="69"/>
      <c r="K78" s="69"/>
      <c r="L78" s="69"/>
      <c r="M78" s="69"/>
      <c r="N78" s="69"/>
      <c r="O78" s="69"/>
      <c r="P78" s="69"/>
      <c r="Q78" s="24"/>
    </row>
    <row r="79" spans="2:17" ht="15.75" thickBot="1">
      <c r="B79">
        <v>41</v>
      </c>
      <c r="C79" s="67" t="s">
        <v>445</v>
      </c>
      <c r="D79">
        <v>8680.35</v>
      </c>
      <c r="E79" s="67" t="s">
        <v>497</v>
      </c>
      <c r="G79" s="25">
        <v>3</v>
      </c>
      <c r="H79" s="27" t="s">
        <v>501</v>
      </c>
      <c r="I79" s="27"/>
      <c r="J79" s="27"/>
      <c r="K79" s="27"/>
      <c r="L79" s="27"/>
      <c r="M79" s="27"/>
      <c r="N79" s="27"/>
      <c r="O79" s="27"/>
      <c r="P79" s="27"/>
      <c r="Q79" s="28"/>
    </row>
    <row r="80" spans="2:17">
      <c r="B80">
        <v>42</v>
      </c>
      <c r="C80" s="67" t="s">
        <v>446</v>
      </c>
      <c r="D80">
        <v>8575</v>
      </c>
      <c r="E80" s="67" t="s">
        <v>497</v>
      </c>
    </row>
    <row r="81" spans="2:9">
      <c r="B81">
        <v>4</v>
      </c>
      <c r="C81" s="67" t="s">
        <v>447</v>
      </c>
      <c r="D81">
        <v>8567.9</v>
      </c>
      <c r="E81" s="67" t="s">
        <v>497</v>
      </c>
    </row>
    <row r="82" spans="2:9">
      <c r="B82">
        <v>32</v>
      </c>
      <c r="C82" s="67" t="s">
        <v>448</v>
      </c>
      <c r="D82">
        <v>8404.16</v>
      </c>
      <c r="E82" s="67" t="s">
        <v>497</v>
      </c>
    </row>
    <row r="83" spans="2:9">
      <c r="B83">
        <v>75</v>
      </c>
      <c r="C83" s="67" t="s">
        <v>449</v>
      </c>
      <c r="D83">
        <v>8177.49</v>
      </c>
      <c r="E83" s="67" t="s">
        <v>498</v>
      </c>
      <c r="H83" s="13" t="s">
        <v>129</v>
      </c>
      <c r="I83" t="s">
        <v>478</v>
      </c>
    </row>
    <row r="84" spans="2:9">
      <c r="B84">
        <v>14</v>
      </c>
      <c r="C84" s="67" t="s">
        <v>450</v>
      </c>
      <c r="D84">
        <v>7991.49</v>
      </c>
      <c r="E84" s="67" t="s">
        <v>498</v>
      </c>
      <c r="H84" s="14" t="s">
        <v>496</v>
      </c>
      <c r="I84" s="67">
        <v>471394.26999999996</v>
      </c>
    </row>
    <row r="85" spans="2:9">
      <c r="B85">
        <v>57</v>
      </c>
      <c r="C85" s="67" t="s">
        <v>451</v>
      </c>
      <c r="D85">
        <v>7661.55</v>
      </c>
      <c r="E85" s="67" t="s">
        <v>498</v>
      </c>
      <c r="H85" s="14" t="s">
        <v>498</v>
      </c>
      <c r="I85" s="67">
        <v>134850.91</v>
      </c>
    </row>
    <row r="86" spans="2:9">
      <c r="B86">
        <v>9</v>
      </c>
      <c r="C86" s="67" t="s">
        <v>452</v>
      </c>
      <c r="D86">
        <v>7226.5</v>
      </c>
      <c r="E86" s="67" t="s">
        <v>498</v>
      </c>
      <c r="H86" s="14" t="s">
        <v>497</v>
      </c>
      <c r="I86" s="67">
        <v>659547.93000000005</v>
      </c>
    </row>
    <row r="87" spans="2:9">
      <c r="B87">
        <v>6</v>
      </c>
      <c r="C87" s="67" t="s">
        <v>453</v>
      </c>
      <c r="D87">
        <v>7137</v>
      </c>
      <c r="E87" s="67" t="s">
        <v>498</v>
      </c>
      <c r="H87" s="14" t="s">
        <v>130</v>
      </c>
      <c r="I87" s="67">
        <v>1265793.1099999999</v>
      </c>
    </row>
    <row r="88" spans="2:9">
      <c r="B88">
        <v>22</v>
      </c>
      <c r="C88" s="67" t="s">
        <v>454</v>
      </c>
      <c r="D88">
        <v>7122.36</v>
      </c>
      <c r="E88" s="67" t="s">
        <v>498</v>
      </c>
    </row>
    <row r="89" spans="2:9">
      <c r="B89">
        <v>34</v>
      </c>
      <c r="C89" s="67" t="s">
        <v>455</v>
      </c>
      <c r="D89">
        <v>6350.4</v>
      </c>
      <c r="E89" s="67" t="s">
        <v>498</v>
      </c>
    </row>
    <row r="90" spans="2:9">
      <c r="B90">
        <v>46</v>
      </c>
      <c r="C90" s="67" t="s">
        <v>456</v>
      </c>
      <c r="D90">
        <v>5883</v>
      </c>
      <c r="E90" s="67" t="s">
        <v>498</v>
      </c>
    </row>
    <row r="91" spans="2:9">
      <c r="B91">
        <v>58</v>
      </c>
      <c r="C91" s="67" t="s">
        <v>457</v>
      </c>
      <c r="D91">
        <v>5881.68</v>
      </c>
      <c r="E91" s="67" t="s">
        <v>498</v>
      </c>
    </row>
    <row r="92" spans="2:9">
      <c r="B92">
        <v>19</v>
      </c>
      <c r="C92" s="67" t="s">
        <v>458</v>
      </c>
      <c r="D92">
        <v>5862.62</v>
      </c>
      <c r="E92" s="67" t="s">
        <v>498</v>
      </c>
    </row>
    <row r="93" spans="2:9">
      <c r="B93">
        <v>5</v>
      </c>
      <c r="C93" s="67" t="s">
        <v>459</v>
      </c>
      <c r="D93">
        <v>5347.2</v>
      </c>
      <c r="E93" s="67" t="s">
        <v>498</v>
      </c>
    </row>
    <row r="94" spans="2:9">
      <c r="B94">
        <v>13</v>
      </c>
      <c r="C94" s="67" t="s">
        <v>460</v>
      </c>
      <c r="D94">
        <v>4960.4399999999996</v>
      </c>
      <c r="E94" s="67" t="s">
        <v>498</v>
      </c>
    </row>
    <row r="95" spans="2:9">
      <c r="B95">
        <v>54</v>
      </c>
      <c r="C95" s="67" t="s">
        <v>461</v>
      </c>
      <c r="D95">
        <v>4728.24</v>
      </c>
      <c r="E95" s="67" t="s">
        <v>498</v>
      </c>
    </row>
    <row r="96" spans="2:9">
      <c r="B96">
        <v>23</v>
      </c>
      <c r="C96" s="67" t="s">
        <v>462</v>
      </c>
      <c r="D96">
        <v>4601.7</v>
      </c>
      <c r="E96" s="67" t="s">
        <v>498</v>
      </c>
    </row>
    <row r="97" spans="2:5">
      <c r="B97">
        <v>24</v>
      </c>
      <c r="C97" s="67" t="s">
        <v>463</v>
      </c>
      <c r="D97">
        <v>4504.37</v>
      </c>
      <c r="E97" s="67" t="s">
        <v>498</v>
      </c>
    </row>
    <row r="98" spans="2:5">
      <c r="B98">
        <v>45</v>
      </c>
      <c r="C98" s="67" t="s">
        <v>464</v>
      </c>
      <c r="D98">
        <v>4338.18</v>
      </c>
      <c r="E98" s="67" t="s">
        <v>498</v>
      </c>
    </row>
    <row r="99" spans="2:5">
      <c r="B99">
        <v>73</v>
      </c>
      <c r="C99" s="67" t="s">
        <v>465</v>
      </c>
      <c r="D99">
        <v>3997.2</v>
      </c>
      <c r="E99" s="67" t="s">
        <v>498</v>
      </c>
    </row>
    <row r="100" spans="2:5">
      <c r="B100">
        <v>47</v>
      </c>
      <c r="C100" s="67" t="s">
        <v>466</v>
      </c>
      <c r="D100">
        <v>3958.08</v>
      </c>
      <c r="E100" s="67" t="s">
        <v>498</v>
      </c>
    </row>
    <row r="101" spans="2:5">
      <c r="B101">
        <v>25</v>
      </c>
      <c r="C101" s="67" t="s">
        <v>467</v>
      </c>
      <c r="D101">
        <v>3704.4</v>
      </c>
      <c r="E101" s="67" t="s">
        <v>498</v>
      </c>
    </row>
    <row r="102" spans="2:5">
      <c r="B102">
        <v>50</v>
      </c>
      <c r="C102" s="67" t="s">
        <v>468</v>
      </c>
      <c r="D102">
        <v>3437.69</v>
      </c>
      <c r="E102" s="67" t="s">
        <v>498</v>
      </c>
    </row>
    <row r="103" spans="2:5">
      <c r="B103">
        <v>66</v>
      </c>
      <c r="C103" s="67" t="s">
        <v>469</v>
      </c>
      <c r="D103">
        <v>3383</v>
      </c>
      <c r="E103" s="67" t="s">
        <v>498</v>
      </c>
    </row>
    <row r="104" spans="2:5">
      <c r="B104">
        <v>52</v>
      </c>
      <c r="C104" s="67" t="s">
        <v>470</v>
      </c>
      <c r="D104">
        <v>3232.95</v>
      </c>
      <c r="E104" s="67" t="s">
        <v>498</v>
      </c>
    </row>
    <row r="105" spans="2:5">
      <c r="B105">
        <v>3</v>
      </c>
      <c r="C105" s="67" t="s">
        <v>471</v>
      </c>
      <c r="D105">
        <v>3044</v>
      </c>
      <c r="E105" s="67" t="s">
        <v>498</v>
      </c>
    </row>
    <row r="106" spans="2:5">
      <c r="B106">
        <v>37</v>
      </c>
      <c r="C106" s="67" t="s">
        <v>472</v>
      </c>
      <c r="D106">
        <v>2688.4</v>
      </c>
      <c r="E106" s="67" t="s">
        <v>498</v>
      </c>
    </row>
    <row r="107" spans="2:5">
      <c r="B107">
        <v>74</v>
      </c>
      <c r="C107" s="67" t="s">
        <v>473</v>
      </c>
      <c r="D107">
        <v>2432.5</v>
      </c>
      <c r="E107" s="67" t="s">
        <v>498</v>
      </c>
    </row>
    <row r="108" spans="2:5">
      <c r="B108">
        <v>67</v>
      </c>
      <c r="C108" s="67" t="s">
        <v>474</v>
      </c>
      <c r="D108">
        <v>2396.8000000000002</v>
      </c>
      <c r="E108" s="67" t="s">
        <v>498</v>
      </c>
    </row>
    <row r="109" spans="2:5">
      <c r="B109">
        <v>15</v>
      </c>
      <c r="C109" s="67" t="s">
        <v>475</v>
      </c>
      <c r="D109">
        <v>1784.83</v>
      </c>
      <c r="E109" s="67" t="s">
        <v>498</v>
      </c>
    </row>
    <row r="110" spans="2:5">
      <c r="B110">
        <v>33</v>
      </c>
      <c r="C110" s="67" t="s">
        <v>476</v>
      </c>
      <c r="D110">
        <v>1648.13</v>
      </c>
      <c r="E110" s="67" t="s">
        <v>498</v>
      </c>
    </row>
    <row r="111" spans="2:5">
      <c r="B111">
        <v>48</v>
      </c>
      <c r="C111" s="67" t="s">
        <v>477</v>
      </c>
      <c r="D111">
        <v>1368.71</v>
      </c>
      <c r="E111" s="67" t="s">
        <v>498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1DE02-BDCD-4544-8DB7-BB2199A6EA74}">
  <dimension ref="A25:S96"/>
  <sheetViews>
    <sheetView topLeftCell="A58" workbookViewId="0">
      <selection activeCell="K67" sqref="K67"/>
    </sheetView>
  </sheetViews>
  <sheetFormatPr defaultRowHeight="15"/>
  <cols>
    <col min="1" max="1" width="12" bestFit="1" customWidth="1"/>
    <col min="2" max="2" width="13.140625" bestFit="1" customWidth="1"/>
    <col min="3" max="3" width="20.140625" bestFit="1" customWidth="1"/>
    <col min="4" max="4" width="17.7109375" bestFit="1" customWidth="1"/>
    <col min="5" max="5" width="11.42578125" bestFit="1" customWidth="1"/>
    <col min="6" max="6" width="11.140625" bestFit="1" customWidth="1"/>
    <col min="10" max="10" width="13.140625" bestFit="1" customWidth="1"/>
    <col min="11" max="11" width="22.28515625" bestFit="1" customWidth="1"/>
  </cols>
  <sheetData>
    <row r="25" spans="1:11" ht="15.75" thickBot="1"/>
    <row r="26" spans="1:11" ht="21.75" thickBot="1">
      <c r="C26" s="54" t="s">
        <v>28</v>
      </c>
    </row>
    <row r="27" spans="1:11">
      <c r="A27" t="s">
        <v>355</v>
      </c>
      <c r="B27" t="s">
        <v>502</v>
      </c>
      <c r="C27" t="s">
        <v>503</v>
      </c>
      <c r="D27" t="s">
        <v>504</v>
      </c>
      <c r="E27" t="s">
        <v>505</v>
      </c>
      <c r="F27" t="s">
        <v>506</v>
      </c>
      <c r="J27" s="13" t="s">
        <v>129</v>
      </c>
      <c r="K27" t="s">
        <v>512</v>
      </c>
    </row>
    <row r="28" spans="1:11">
      <c r="A28" s="67" t="s">
        <v>59</v>
      </c>
      <c r="B28">
        <v>3</v>
      </c>
      <c r="C28">
        <v>5</v>
      </c>
      <c r="D28">
        <v>76.75</v>
      </c>
      <c r="E28">
        <v>263.5</v>
      </c>
      <c r="F28">
        <v>13.25</v>
      </c>
      <c r="J28" s="14" t="s">
        <v>507</v>
      </c>
      <c r="K28" s="67">
        <v>33.83</v>
      </c>
    </row>
    <row r="29" spans="1:11">
      <c r="A29" s="67" t="s">
        <v>47</v>
      </c>
      <c r="B29">
        <v>3</v>
      </c>
      <c r="C29">
        <v>9</v>
      </c>
      <c r="D29">
        <v>37.6</v>
      </c>
      <c r="E29">
        <v>123.79</v>
      </c>
      <c r="F29">
        <v>7.75</v>
      </c>
      <c r="J29" s="14" t="s">
        <v>40</v>
      </c>
      <c r="K29" s="67">
        <v>4.5</v>
      </c>
    </row>
    <row r="30" spans="1:11">
      <c r="A30" s="67" t="s">
        <v>507</v>
      </c>
      <c r="B30">
        <v>2</v>
      </c>
      <c r="C30">
        <v>8</v>
      </c>
      <c r="D30">
        <v>33.83</v>
      </c>
      <c r="E30">
        <v>62.5</v>
      </c>
      <c r="F30">
        <v>7</v>
      </c>
      <c r="J30" s="14" t="s">
        <v>70</v>
      </c>
      <c r="K30" s="67">
        <v>27.31</v>
      </c>
    </row>
    <row r="31" spans="1:11">
      <c r="A31" s="67" t="s">
        <v>508</v>
      </c>
      <c r="B31">
        <v>2</v>
      </c>
      <c r="C31">
        <v>6</v>
      </c>
      <c r="D31">
        <v>30.46</v>
      </c>
      <c r="E31">
        <v>97</v>
      </c>
      <c r="F31">
        <v>6</v>
      </c>
      <c r="J31" s="14" t="s">
        <v>77</v>
      </c>
      <c r="K31" s="67">
        <v>10.75</v>
      </c>
    </row>
    <row r="32" spans="1:11">
      <c r="A32" s="67" t="s">
        <v>98</v>
      </c>
      <c r="B32">
        <v>1</v>
      </c>
      <c r="C32">
        <v>2</v>
      </c>
      <c r="D32">
        <v>29.5</v>
      </c>
      <c r="E32">
        <v>38</v>
      </c>
      <c r="F32">
        <v>21</v>
      </c>
      <c r="J32" s="14" t="s">
        <v>65</v>
      </c>
      <c r="K32" s="67">
        <v>18.079999999999998</v>
      </c>
    </row>
    <row r="33" spans="1:11">
      <c r="A33" s="67" t="s">
        <v>83</v>
      </c>
      <c r="B33">
        <v>2</v>
      </c>
      <c r="C33">
        <v>5</v>
      </c>
      <c r="D33">
        <v>27.36</v>
      </c>
      <c r="E33">
        <v>38</v>
      </c>
      <c r="F33">
        <v>12.5</v>
      </c>
      <c r="J33" s="14" t="s">
        <v>59</v>
      </c>
      <c r="K33" s="67">
        <v>76.75</v>
      </c>
    </row>
    <row r="34" spans="1:11">
      <c r="A34" s="67" t="s">
        <v>70</v>
      </c>
      <c r="B34">
        <v>2</v>
      </c>
      <c r="C34">
        <v>4</v>
      </c>
      <c r="D34">
        <v>27.31</v>
      </c>
      <c r="E34">
        <v>49.3</v>
      </c>
      <c r="F34">
        <v>7.45</v>
      </c>
      <c r="J34" s="14" t="s">
        <v>47</v>
      </c>
      <c r="K34" s="67">
        <v>37.6</v>
      </c>
    </row>
    <row r="35" spans="1:11">
      <c r="A35" s="67" t="s">
        <v>509</v>
      </c>
      <c r="B35">
        <v>1</v>
      </c>
      <c r="C35">
        <v>3</v>
      </c>
      <c r="D35">
        <v>26.48</v>
      </c>
      <c r="E35">
        <v>46</v>
      </c>
      <c r="F35">
        <v>14</v>
      </c>
      <c r="J35" s="14" t="s">
        <v>83</v>
      </c>
      <c r="K35" s="67">
        <v>27.36</v>
      </c>
    </row>
    <row r="36" spans="1:11">
      <c r="A36" s="67" t="s">
        <v>38</v>
      </c>
      <c r="B36">
        <v>2</v>
      </c>
      <c r="C36">
        <v>7</v>
      </c>
      <c r="D36">
        <v>22.81</v>
      </c>
      <c r="E36">
        <v>81</v>
      </c>
      <c r="F36">
        <v>9.1999999999999993</v>
      </c>
      <c r="J36" s="14" t="s">
        <v>508</v>
      </c>
      <c r="K36" s="67">
        <v>30.46</v>
      </c>
    </row>
    <row r="37" spans="1:11">
      <c r="A37" s="67" t="s">
        <v>43</v>
      </c>
      <c r="B37">
        <v>4</v>
      </c>
      <c r="C37">
        <v>12</v>
      </c>
      <c r="D37">
        <v>20.87</v>
      </c>
      <c r="E37">
        <v>40</v>
      </c>
      <c r="F37">
        <v>9.65</v>
      </c>
      <c r="J37" s="14" t="s">
        <v>511</v>
      </c>
      <c r="K37" s="67">
        <v>11.13</v>
      </c>
    </row>
    <row r="38" spans="1:11">
      <c r="A38" s="67" t="s">
        <v>114</v>
      </c>
      <c r="B38">
        <v>1</v>
      </c>
      <c r="C38">
        <v>3</v>
      </c>
      <c r="D38">
        <v>20</v>
      </c>
      <c r="E38">
        <v>36</v>
      </c>
      <c r="F38">
        <v>2.5</v>
      </c>
      <c r="J38" s="14" t="s">
        <v>114</v>
      </c>
      <c r="K38" s="67">
        <v>20</v>
      </c>
    </row>
    <row r="39" spans="1:11">
      <c r="A39" s="67" t="s">
        <v>51</v>
      </c>
      <c r="B39">
        <v>1</v>
      </c>
      <c r="C39">
        <v>3</v>
      </c>
      <c r="D39">
        <v>20</v>
      </c>
      <c r="E39">
        <v>26</v>
      </c>
      <c r="F39">
        <v>15</v>
      </c>
      <c r="J39" s="14" t="s">
        <v>509</v>
      </c>
      <c r="K39" s="67">
        <v>26.48</v>
      </c>
    </row>
    <row r="40" spans="1:11">
      <c r="A40" s="67" t="s">
        <v>65</v>
      </c>
      <c r="B40">
        <v>1</v>
      </c>
      <c r="C40">
        <v>3</v>
      </c>
      <c r="D40">
        <v>18.079999999999998</v>
      </c>
      <c r="E40">
        <v>20</v>
      </c>
      <c r="F40">
        <v>16.25</v>
      </c>
      <c r="J40" s="14" t="s">
        <v>98</v>
      </c>
      <c r="K40" s="67">
        <v>29.5</v>
      </c>
    </row>
    <row r="41" spans="1:11">
      <c r="A41" s="67" t="s">
        <v>510</v>
      </c>
      <c r="B41">
        <v>1</v>
      </c>
      <c r="C41">
        <v>2</v>
      </c>
      <c r="D41">
        <v>15</v>
      </c>
      <c r="E41">
        <v>21</v>
      </c>
      <c r="F41">
        <v>9</v>
      </c>
      <c r="J41" s="14" t="s">
        <v>51</v>
      </c>
      <c r="K41" s="67">
        <v>20</v>
      </c>
    </row>
    <row r="42" spans="1:11">
      <c r="A42" s="67" t="s">
        <v>511</v>
      </c>
      <c r="B42">
        <v>1</v>
      </c>
      <c r="C42">
        <v>2</v>
      </c>
      <c r="D42">
        <v>11.13</v>
      </c>
      <c r="E42">
        <v>12.75</v>
      </c>
      <c r="F42">
        <v>9.5</v>
      </c>
      <c r="J42" s="14" t="s">
        <v>510</v>
      </c>
      <c r="K42" s="67">
        <v>15</v>
      </c>
    </row>
    <row r="43" spans="1:11">
      <c r="A43" s="67" t="s">
        <v>77</v>
      </c>
      <c r="B43">
        <v>1</v>
      </c>
      <c r="C43">
        <v>2</v>
      </c>
      <c r="D43">
        <v>10.75</v>
      </c>
      <c r="E43">
        <v>12</v>
      </c>
      <c r="F43">
        <v>9.5</v>
      </c>
      <c r="J43" s="14" t="s">
        <v>38</v>
      </c>
      <c r="K43" s="67">
        <v>22.81</v>
      </c>
    </row>
    <row r="44" spans="1:11">
      <c r="A44" s="67" t="s">
        <v>40</v>
      </c>
      <c r="B44">
        <v>1</v>
      </c>
      <c r="C44">
        <v>1</v>
      </c>
      <c r="D44">
        <v>4.5</v>
      </c>
      <c r="E44">
        <v>4.5</v>
      </c>
      <c r="F44">
        <v>4.5</v>
      </c>
      <c r="J44" s="14" t="s">
        <v>43</v>
      </c>
      <c r="K44" s="67">
        <v>20.87</v>
      </c>
    </row>
    <row r="45" spans="1:11">
      <c r="J45" s="14" t="s">
        <v>130</v>
      </c>
      <c r="K45" s="67">
        <v>432.43</v>
      </c>
    </row>
    <row r="51" spans="2:3">
      <c r="B51" s="13" t="s">
        <v>129</v>
      </c>
      <c r="C51" t="s">
        <v>514</v>
      </c>
    </row>
    <row r="52" spans="2:3">
      <c r="B52" s="14" t="s">
        <v>507</v>
      </c>
      <c r="C52" s="67">
        <v>2</v>
      </c>
    </row>
    <row r="53" spans="2:3">
      <c r="B53" s="14" t="s">
        <v>40</v>
      </c>
      <c r="C53" s="67">
        <v>1</v>
      </c>
    </row>
    <row r="54" spans="2:3">
      <c r="B54" s="14" t="s">
        <v>70</v>
      </c>
      <c r="C54" s="67">
        <v>2</v>
      </c>
    </row>
    <row r="55" spans="2:3">
      <c r="B55" s="14" t="s">
        <v>77</v>
      </c>
      <c r="C55" s="67">
        <v>1</v>
      </c>
    </row>
    <row r="56" spans="2:3">
      <c r="B56" s="14" t="s">
        <v>65</v>
      </c>
      <c r="C56" s="67">
        <v>1</v>
      </c>
    </row>
    <row r="57" spans="2:3">
      <c r="B57" s="14" t="s">
        <v>59</v>
      </c>
      <c r="C57" s="67">
        <v>3</v>
      </c>
    </row>
    <row r="58" spans="2:3">
      <c r="B58" s="14" t="s">
        <v>47</v>
      </c>
      <c r="C58" s="67">
        <v>3</v>
      </c>
    </row>
    <row r="59" spans="2:3">
      <c r="B59" s="14" t="s">
        <v>83</v>
      </c>
      <c r="C59" s="67">
        <v>2</v>
      </c>
    </row>
    <row r="60" spans="2:3">
      <c r="B60" s="14" t="s">
        <v>508</v>
      </c>
      <c r="C60" s="67">
        <v>2</v>
      </c>
    </row>
    <row r="61" spans="2:3">
      <c r="B61" s="14" t="s">
        <v>511</v>
      </c>
      <c r="C61" s="67">
        <v>1</v>
      </c>
    </row>
    <row r="62" spans="2:3">
      <c r="B62" s="14" t="s">
        <v>114</v>
      </c>
      <c r="C62" s="67">
        <v>1</v>
      </c>
    </row>
    <row r="63" spans="2:3">
      <c r="B63" s="14" t="s">
        <v>509</v>
      </c>
      <c r="C63" s="67">
        <v>1</v>
      </c>
    </row>
    <row r="64" spans="2:3">
      <c r="B64" s="14" t="s">
        <v>98</v>
      </c>
      <c r="C64" s="67">
        <v>1</v>
      </c>
    </row>
    <row r="65" spans="2:19">
      <c r="B65" s="14" t="s">
        <v>51</v>
      </c>
      <c r="C65" s="67">
        <v>1</v>
      </c>
    </row>
    <row r="66" spans="2:19" ht="15.75" thickBot="1">
      <c r="B66" s="14" t="s">
        <v>510</v>
      </c>
      <c r="C66" s="67">
        <v>1</v>
      </c>
    </row>
    <row r="67" spans="2:19" ht="19.5" thickBot="1">
      <c r="B67" s="14" t="s">
        <v>38</v>
      </c>
      <c r="C67" s="67">
        <v>2</v>
      </c>
      <c r="K67" s="68" t="s">
        <v>29</v>
      </c>
    </row>
    <row r="68" spans="2:19" ht="15.75" thickBot="1">
      <c r="B68" s="14" t="s">
        <v>43</v>
      </c>
      <c r="C68" s="67">
        <v>4</v>
      </c>
      <c r="F68" s="70" t="s">
        <v>513</v>
      </c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2"/>
    </row>
    <row r="69" spans="2:19">
      <c r="B69" s="14" t="s">
        <v>130</v>
      </c>
      <c r="C69" s="67">
        <v>29</v>
      </c>
    </row>
    <row r="94" spans="1:10" ht="15.75" thickBot="1"/>
    <row r="95" spans="1:10" ht="19.5" thickBot="1">
      <c r="D95" s="68" t="s">
        <v>29</v>
      </c>
    </row>
    <row r="96" spans="1:10" ht="15.75" thickBot="1">
      <c r="A96" s="70" t="s">
        <v>515</v>
      </c>
      <c r="B96" s="71"/>
      <c r="C96" s="71"/>
      <c r="D96" s="71"/>
      <c r="E96" s="71"/>
      <c r="F96" s="71"/>
      <c r="G96" s="71"/>
      <c r="H96" s="71"/>
      <c r="I96" s="71"/>
      <c r="J96" s="72"/>
    </row>
  </sheetData>
  <pageMargins left="0.7" right="0.7" top="0.75" bottom="0.75" header="0.3" footer="0.3"/>
  <drawing r:id="rId3"/>
  <tableParts count="1"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77298-1D1B-425B-9546-139535B0DC33}">
  <dimension ref="B25:K76"/>
  <sheetViews>
    <sheetView topLeftCell="A67" workbookViewId="0">
      <selection activeCell="I68" sqref="I68"/>
    </sheetView>
  </sheetViews>
  <sheetFormatPr defaultRowHeight="15"/>
  <cols>
    <col min="2" max="2" width="16" bestFit="1" customWidth="1"/>
    <col min="3" max="3" width="38" bestFit="1" customWidth="1"/>
    <col min="4" max="4" width="19" bestFit="1" customWidth="1"/>
    <col min="7" max="7" width="14.140625" bestFit="1" customWidth="1"/>
    <col min="8" max="8" width="23.5703125" bestFit="1" customWidth="1"/>
    <col min="9" max="9" width="17" bestFit="1" customWidth="1"/>
    <col min="10" max="10" width="32.7109375" bestFit="1" customWidth="1"/>
    <col min="11" max="11" width="18.85546875" bestFit="1" customWidth="1"/>
    <col min="12" max="12" width="13.140625" bestFit="1" customWidth="1"/>
    <col min="13" max="13" width="15.42578125" bestFit="1" customWidth="1"/>
    <col min="14" max="14" width="20" bestFit="1" customWidth="1"/>
    <col min="15" max="15" width="12.28515625" bestFit="1" customWidth="1"/>
    <col min="16" max="16" width="11.85546875" bestFit="1" customWidth="1"/>
    <col min="17" max="17" width="26.5703125" bestFit="1" customWidth="1"/>
    <col min="18" max="18" width="28.7109375" bestFit="1" customWidth="1"/>
    <col min="19" max="19" width="9.28515625" bestFit="1" customWidth="1"/>
    <col min="20" max="20" width="12" bestFit="1" customWidth="1"/>
    <col min="21" max="21" width="10.28515625" bestFit="1" customWidth="1"/>
    <col min="22" max="22" width="10.85546875" bestFit="1" customWidth="1"/>
    <col min="23" max="23" width="9.7109375" bestFit="1" customWidth="1"/>
    <col min="24" max="24" width="28.5703125" bestFit="1" customWidth="1"/>
    <col min="25" max="25" width="26.140625" bestFit="1" customWidth="1"/>
    <col min="26" max="26" width="38" bestFit="1" customWidth="1"/>
    <col min="27" max="27" width="15.7109375" bestFit="1" customWidth="1"/>
    <col min="28" max="28" width="16.5703125" bestFit="1" customWidth="1"/>
    <col min="29" max="29" width="12.140625" bestFit="1" customWidth="1"/>
    <col min="30" max="30" width="17.28515625" bestFit="1" customWidth="1"/>
    <col min="31" max="31" width="33.5703125" bestFit="1" customWidth="1"/>
    <col min="32" max="32" width="25.7109375" bestFit="1" customWidth="1"/>
    <col min="33" max="33" width="20.7109375" bestFit="1" customWidth="1"/>
    <col min="34" max="34" width="17.42578125" bestFit="1" customWidth="1"/>
    <col min="35" max="35" width="13.42578125" bestFit="1" customWidth="1"/>
    <col min="36" max="36" width="19.7109375" bestFit="1" customWidth="1"/>
    <col min="37" max="37" width="11.28515625" bestFit="1" customWidth="1"/>
  </cols>
  <sheetData>
    <row r="25" spans="2:8" ht="19.5" customHeight="1" thickBot="1"/>
    <row r="26" spans="2:8" ht="21.75" thickBot="1">
      <c r="C26" s="54" t="s">
        <v>28</v>
      </c>
    </row>
    <row r="27" spans="2:8">
      <c r="B27" t="s">
        <v>516</v>
      </c>
      <c r="C27" t="s">
        <v>517</v>
      </c>
      <c r="D27" t="s">
        <v>518</v>
      </c>
    </row>
    <row r="28" spans="2:8">
      <c r="B28" s="67" t="s">
        <v>160</v>
      </c>
      <c r="C28" s="67" t="s">
        <v>519</v>
      </c>
      <c r="D28">
        <v>4</v>
      </c>
    </row>
    <row r="29" spans="2:8">
      <c r="B29" s="67" t="s">
        <v>178</v>
      </c>
      <c r="C29" s="67" t="s">
        <v>520</v>
      </c>
      <c r="D29">
        <v>4</v>
      </c>
    </row>
    <row r="30" spans="2:8">
      <c r="B30" s="67" t="s">
        <v>178</v>
      </c>
      <c r="C30" s="67" t="s">
        <v>521</v>
      </c>
      <c r="D30">
        <v>3</v>
      </c>
    </row>
    <row r="31" spans="2:8">
      <c r="B31" s="67" t="s">
        <v>157</v>
      </c>
      <c r="C31" s="67" t="s">
        <v>522</v>
      </c>
      <c r="D31">
        <v>3</v>
      </c>
    </row>
    <row r="32" spans="2:8">
      <c r="B32" s="67" t="s">
        <v>152</v>
      </c>
      <c r="C32" s="67" t="s">
        <v>523</v>
      </c>
      <c r="D32">
        <v>3</v>
      </c>
      <c r="G32" s="13" t="s">
        <v>129</v>
      </c>
      <c r="H32" t="s">
        <v>548</v>
      </c>
    </row>
    <row r="33" spans="2:8">
      <c r="B33" s="67" t="s">
        <v>149</v>
      </c>
      <c r="C33" s="67" t="s">
        <v>524</v>
      </c>
      <c r="D33">
        <v>3</v>
      </c>
      <c r="G33" s="14" t="s">
        <v>152</v>
      </c>
      <c r="H33" s="67">
        <v>12</v>
      </c>
    </row>
    <row r="34" spans="2:8">
      <c r="B34" s="67" t="s">
        <v>149</v>
      </c>
      <c r="C34" s="67" t="s">
        <v>525</v>
      </c>
      <c r="D34">
        <v>3</v>
      </c>
      <c r="G34" s="14" t="s">
        <v>160</v>
      </c>
      <c r="H34" s="67">
        <v>12</v>
      </c>
    </row>
    <row r="35" spans="2:8">
      <c r="B35" s="67" t="s">
        <v>157</v>
      </c>
      <c r="C35" s="67" t="s">
        <v>526</v>
      </c>
      <c r="D35">
        <v>2</v>
      </c>
      <c r="G35" s="14" t="s">
        <v>178</v>
      </c>
      <c r="H35" s="67">
        <v>13</v>
      </c>
    </row>
    <row r="36" spans="2:8">
      <c r="B36" s="67" t="s">
        <v>152</v>
      </c>
      <c r="C36" s="67" t="s">
        <v>527</v>
      </c>
      <c r="D36">
        <v>2</v>
      </c>
      <c r="G36" s="14" t="s">
        <v>149</v>
      </c>
      <c r="H36" s="67">
        <v>10</v>
      </c>
    </row>
    <row r="37" spans="2:8">
      <c r="B37" s="67" t="s">
        <v>157</v>
      </c>
      <c r="C37" s="67" t="s">
        <v>528</v>
      </c>
      <c r="D37">
        <v>2</v>
      </c>
      <c r="G37" s="14" t="s">
        <v>203</v>
      </c>
      <c r="H37" s="67">
        <v>7</v>
      </c>
    </row>
    <row r="38" spans="2:8">
      <c r="B38" s="67" t="s">
        <v>203</v>
      </c>
      <c r="C38" s="67" t="s">
        <v>529</v>
      </c>
      <c r="D38">
        <v>2</v>
      </c>
      <c r="G38" s="14" t="s">
        <v>155</v>
      </c>
      <c r="H38" s="67">
        <v>6</v>
      </c>
    </row>
    <row r="39" spans="2:8">
      <c r="B39" s="67" t="s">
        <v>203</v>
      </c>
      <c r="C39" s="67" t="s">
        <v>530</v>
      </c>
      <c r="D39">
        <v>2</v>
      </c>
      <c r="G39" s="14" t="s">
        <v>198</v>
      </c>
      <c r="H39" s="67">
        <v>5</v>
      </c>
    </row>
    <row r="40" spans="2:8">
      <c r="B40" s="67" t="s">
        <v>152</v>
      </c>
      <c r="C40" s="67" t="s">
        <v>531</v>
      </c>
      <c r="D40">
        <v>2</v>
      </c>
      <c r="G40" s="14" t="s">
        <v>157</v>
      </c>
      <c r="H40" s="67">
        <v>12</v>
      </c>
    </row>
    <row r="41" spans="2:8">
      <c r="B41" s="67" t="s">
        <v>155</v>
      </c>
      <c r="C41" s="67" t="s">
        <v>532</v>
      </c>
      <c r="D41">
        <v>2</v>
      </c>
      <c r="G41" s="14" t="s">
        <v>130</v>
      </c>
      <c r="H41" s="67">
        <v>77</v>
      </c>
    </row>
    <row r="42" spans="2:8">
      <c r="B42" s="67" t="s">
        <v>178</v>
      </c>
      <c r="C42" s="67" t="s">
        <v>533</v>
      </c>
      <c r="D42">
        <v>2</v>
      </c>
    </row>
    <row r="43" spans="2:8">
      <c r="B43" s="67" t="s">
        <v>178</v>
      </c>
      <c r="C43" s="67" t="s">
        <v>534</v>
      </c>
      <c r="D43">
        <v>2</v>
      </c>
    </row>
    <row r="44" spans="2:8">
      <c r="B44" s="67" t="s">
        <v>149</v>
      </c>
      <c r="C44" s="67" t="s">
        <v>535</v>
      </c>
      <c r="D44">
        <v>2</v>
      </c>
    </row>
    <row r="45" spans="2:8">
      <c r="B45" s="67" t="s">
        <v>149</v>
      </c>
      <c r="C45" s="67" t="s">
        <v>536</v>
      </c>
      <c r="D45">
        <v>2</v>
      </c>
    </row>
    <row r="46" spans="2:8">
      <c r="B46" s="67" t="s">
        <v>160</v>
      </c>
      <c r="C46" s="67" t="s">
        <v>537</v>
      </c>
      <c r="D46">
        <v>2</v>
      </c>
    </row>
    <row r="47" spans="2:8">
      <c r="B47" s="67" t="s">
        <v>155</v>
      </c>
      <c r="C47" s="67" t="s">
        <v>538</v>
      </c>
      <c r="D47">
        <v>1</v>
      </c>
    </row>
    <row r="48" spans="2:8">
      <c r="B48" s="67" t="s">
        <v>155</v>
      </c>
      <c r="C48" s="67" t="s">
        <v>539</v>
      </c>
      <c r="D48">
        <v>1</v>
      </c>
    </row>
    <row r="49" spans="2:4">
      <c r="B49" s="67" t="s">
        <v>198</v>
      </c>
      <c r="C49" s="67" t="s">
        <v>540</v>
      </c>
      <c r="D49">
        <v>1</v>
      </c>
    </row>
    <row r="50" spans="2:4">
      <c r="B50" s="67" t="s">
        <v>198</v>
      </c>
      <c r="C50" s="67" t="s">
        <v>537</v>
      </c>
      <c r="D50">
        <v>1</v>
      </c>
    </row>
    <row r="51" spans="2:4">
      <c r="B51" s="67" t="s">
        <v>198</v>
      </c>
      <c r="C51" s="67" t="s">
        <v>541</v>
      </c>
      <c r="D51">
        <v>1</v>
      </c>
    </row>
    <row r="52" spans="2:4">
      <c r="B52" s="67" t="s">
        <v>198</v>
      </c>
      <c r="C52" s="67" t="s">
        <v>538</v>
      </c>
      <c r="D52">
        <v>1</v>
      </c>
    </row>
    <row r="53" spans="2:4">
      <c r="B53" s="67" t="s">
        <v>198</v>
      </c>
      <c r="C53" s="67" t="s">
        <v>539</v>
      </c>
      <c r="D53">
        <v>1</v>
      </c>
    </row>
    <row r="54" spans="2:4">
      <c r="B54" s="67" t="s">
        <v>157</v>
      </c>
      <c r="C54" s="67" t="s">
        <v>542</v>
      </c>
      <c r="D54">
        <v>1</v>
      </c>
    </row>
    <row r="55" spans="2:4">
      <c r="B55" s="67" t="s">
        <v>157</v>
      </c>
      <c r="C55" s="67" t="s">
        <v>541</v>
      </c>
      <c r="D55">
        <v>1</v>
      </c>
    </row>
    <row r="56" spans="2:4">
      <c r="B56" s="67" t="s">
        <v>157</v>
      </c>
      <c r="C56" s="67" t="s">
        <v>543</v>
      </c>
      <c r="D56">
        <v>1</v>
      </c>
    </row>
    <row r="57" spans="2:4">
      <c r="B57" s="67" t="s">
        <v>157</v>
      </c>
      <c r="C57" s="67" t="s">
        <v>544</v>
      </c>
      <c r="D57">
        <v>1</v>
      </c>
    </row>
    <row r="58" spans="2:4">
      <c r="B58" s="67" t="s">
        <v>157</v>
      </c>
      <c r="C58" s="67" t="s">
        <v>539</v>
      </c>
      <c r="D58">
        <v>1</v>
      </c>
    </row>
    <row r="59" spans="2:4">
      <c r="B59" s="67" t="s">
        <v>152</v>
      </c>
      <c r="C59" s="67" t="s">
        <v>533</v>
      </c>
      <c r="D59">
        <v>1</v>
      </c>
    </row>
    <row r="60" spans="2:4">
      <c r="B60" s="67" t="s">
        <v>152</v>
      </c>
      <c r="C60" s="67" t="s">
        <v>545</v>
      </c>
      <c r="D60">
        <v>1</v>
      </c>
    </row>
    <row r="61" spans="2:4">
      <c r="B61" s="67" t="s">
        <v>152</v>
      </c>
      <c r="C61" s="67" t="s">
        <v>544</v>
      </c>
      <c r="D61">
        <v>1</v>
      </c>
    </row>
    <row r="62" spans="2:4">
      <c r="B62" s="67" t="s">
        <v>152</v>
      </c>
      <c r="C62" s="67" t="s">
        <v>538</v>
      </c>
      <c r="D62">
        <v>1</v>
      </c>
    </row>
    <row r="63" spans="2:4">
      <c r="B63" s="67" t="s">
        <v>152</v>
      </c>
      <c r="C63" s="67" t="s">
        <v>546</v>
      </c>
      <c r="D63">
        <v>1</v>
      </c>
    </row>
    <row r="64" spans="2:4">
      <c r="B64" s="67" t="s">
        <v>160</v>
      </c>
      <c r="C64" s="67" t="s">
        <v>527</v>
      </c>
      <c r="D64">
        <v>1</v>
      </c>
    </row>
    <row r="65" spans="2:11">
      <c r="B65" s="67" t="s">
        <v>160</v>
      </c>
      <c r="C65" s="67" t="s">
        <v>547</v>
      </c>
      <c r="D65">
        <v>1</v>
      </c>
    </row>
    <row r="66" spans="2:11">
      <c r="B66" s="67" t="s">
        <v>160</v>
      </c>
      <c r="C66" s="67" t="s">
        <v>545</v>
      </c>
      <c r="D66">
        <v>1</v>
      </c>
    </row>
    <row r="67" spans="2:11" ht="15.75" thickBot="1">
      <c r="B67" s="67" t="s">
        <v>160</v>
      </c>
      <c r="C67" s="67" t="s">
        <v>541</v>
      </c>
      <c r="D67">
        <v>1</v>
      </c>
    </row>
    <row r="68" spans="2:11" ht="19.5" thickBot="1">
      <c r="B68" s="67" t="s">
        <v>160</v>
      </c>
      <c r="C68" s="67" t="s">
        <v>544</v>
      </c>
      <c r="D68">
        <v>1</v>
      </c>
      <c r="I68" s="68" t="s">
        <v>29</v>
      </c>
    </row>
    <row r="69" spans="2:11">
      <c r="B69" s="67" t="s">
        <v>160</v>
      </c>
      <c r="C69" s="67" t="s">
        <v>538</v>
      </c>
      <c r="D69">
        <v>1</v>
      </c>
      <c r="F69" s="20">
        <v>1</v>
      </c>
      <c r="G69" s="21" t="s">
        <v>549</v>
      </c>
      <c r="H69" s="21"/>
      <c r="I69" s="21"/>
      <c r="J69" s="21"/>
      <c r="K69" s="22"/>
    </row>
    <row r="70" spans="2:11">
      <c r="B70" s="67" t="s">
        <v>178</v>
      </c>
      <c r="C70" s="67" t="s">
        <v>547</v>
      </c>
      <c r="D70">
        <v>1</v>
      </c>
      <c r="F70" s="23">
        <v>2</v>
      </c>
      <c r="G70" s="69" t="s">
        <v>550</v>
      </c>
      <c r="H70" s="69"/>
      <c r="I70" s="69"/>
      <c r="J70" s="69"/>
      <c r="K70" s="24"/>
    </row>
    <row r="71" spans="2:11">
      <c r="B71" s="67" t="s">
        <v>178</v>
      </c>
      <c r="C71" s="67" t="s">
        <v>544</v>
      </c>
      <c r="D71">
        <v>1</v>
      </c>
      <c r="F71" s="23">
        <v>3</v>
      </c>
      <c r="G71" s="69" t="s">
        <v>551</v>
      </c>
      <c r="H71" s="69"/>
      <c r="I71" s="69"/>
      <c r="J71" s="69"/>
      <c r="K71" s="24"/>
    </row>
    <row r="72" spans="2:11" ht="15.75" thickBot="1">
      <c r="B72" s="67" t="s">
        <v>203</v>
      </c>
      <c r="C72" s="67" t="s">
        <v>540</v>
      </c>
      <c r="D72">
        <v>1</v>
      </c>
      <c r="F72" s="25">
        <v>4</v>
      </c>
      <c r="G72" s="27" t="s">
        <v>552</v>
      </c>
      <c r="H72" s="27"/>
      <c r="I72" s="27"/>
      <c r="J72" s="27"/>
      <c r="K72" s="28"/>
    </row>
    <row r="73" spans="2:11">
      <c r="B73" s="67" t="s">
        <v>203</v>
      </c>
      <c r="C73" s="67" t="s">
        <v>545</v>
      </c>
      <c r="D73">
        <v>1</v>
      </c>
    </row>
    <row r="74" spans="2:11">
      <c r="B74" s="67" t="s">
        <v>203</v>
      </c>
      <c r="C74" s="67" t="s">
        <v>538</v>
      </c>
      <c r="D74">
        <v>1</v>
      </c>
    </row>
    <row r="75" spans="2:11">
      <c r="B75" s="67" t="s">
        <v>155</v>
      </c>
      <c r="C75" s="67" t="s">
        <v>540</v>
      </c>
      <c r="D75">
        <v>1</v>
      </c>
    </row>
    <row r="76" spans="2:11">
      <c r="B76" s="67" t="s">
        <v>155</v>
      </c>
      <c r="C76" s="67" t="s">
        <v>544</v>
      </c>
      <c r="D76">
        <v>1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60B73-77EC-4290-966E-C4C69DBDB919}">
  <dimension ref="A27:R119"/>
  <sheetViews>
    <sheetView topLeftCell="A109" workbookViewId="0">
      <selection activeCell="L122" sqref="L122"/>
    </sheetView>
  </sheetViews>
  <sheetFormatPr defaultRowHeight="15"/>
  <cols>
    <col min="1" max="1" width="12" bestFit="1" customWidth="1"/>
    <col min="2" max="2" width="16" bestFit="1" customWidth="1"/>
    <col min="3" max="3" width="15.140625" bestFit="1" customWidth="1"/>
    <col min="4" max="4" width="10.7109375" bestFit="1" customWidth="1"/>
    <col min="5" max="5" width="11.42578125" bestFit="1" customWidth="1"/>
    <col min="6" max="6" width="11.140625" bestFit="1" customWidth="1"/>
    <col min="9" max="9" width="13.140625" bestFit="1" customWidth="1"/>
    <col min="10" max="10" width="19.7109375" bestFit="1" customWidth="1"/>
    <col min="11" max="11" width="11.7109375" bestFit="1" customWidth="1"/>
    <col min="12" max="12" width="11.5703125" bestFit="1" customWidth="1"/>
    <col min="13" max="13" width="13.85546875" bestFit="1" customWidth="1"/>
    <col min="14" max="14" width="14.28515625" bestFit="1" customWidth="1"/>
    <col min="15" max="15" width="13.140625" bestFit="1" customWidth="1"/>
    <col min="16" max="17" width="8.28515625" bestFit="1" customWidth="1"/>
    <col min="18" max="18" width="11.28515625" bestFit="1" customWidth="1"/>
  </cols>
  <sheetData>
    <row r="27" spans="1:18" ht="15.75" thickBot="1"/>
    <row r="28" spans="1:18" ht="21.75" thickBot="1">
      <c r="C28" s="54" t="s">
        <v>28</v>
      </c>
    </row>
    <row r="29" spans="1:18">
      <c r="A29" t="s">
        <v>355</v>
      </c>
      <c r="B29" t="s">
        <v>516</v>
      </c>
      <c r="C29" t="s">
        <v>503</v>
      </c>
      <c r="D29" t="s">
        <v>553</v>
      </c>
      <c r="E29" t="s">
        <v>505</v>
      </c>
      <c r="F29" t="s">
        <v>506</v>
      </c>
      <c r="I29" s="13" t="s">
        <v>554</v>
      </c>
      <c r="J29" s="13" t="s">
        <v>349</v>
      </c>
    </row>
    <row r="30" spans="1:18">
      <c r="A30" s="67" t="s">
        <v>59</v>
      </c>
      <c r="B30" s="67" t="s">
        <v>152</v>
      </c>
      <c r="C30">
        <v>2</v>
      </c>
      <c r="D30">
        <v>140.75</v>
      </c>
      <c r="E30">
        <v>263.5</v>
      </c>
      <c r="F30">
        <v>18</v>
      </c>
      <c r="I30" s="13" t="s">
        <v>129</v>
      </c>
      <c r="J30" t="s">
        <v>152</v>
      </c>
      <c r="K30" t="s">
        <v>160</v>
      </c>
      <c r="L30" t="s">
        <v>178</v>
      </c>
      <c r="M30" t="s">
        <v>149</v>
      </c>
      <c r="N30" t="s">
        <v>203</v>
      </c>
      <c r="O30" t="s">
        <v>155</v>
      </c>
      <c r="P30" t="s">
        <v>198</v>
      </c>
      <c r="Q30" t="s">
        <v>157</v>
      </c>
      <c r="R30" t="s">
        <v>130</v>
      </c>
    </row>
    <row r="31" spans="1:18">
      <c r="A31" s="67" t="s">
        <v>47</v>
      </c>
      <c r="B31" s="67" t="s">
        <v>155</v>
      </c>
      <c r="C31">
        <v>1</v>
      </c>
      <c r="D31">
        <v>123.79</v>
      </c>
      <c r="E31">
        <v>123.79</v>
      </c>
      <c r="F31">
        <v>123.79</v>
      </c>
      <c r="I31" s="14" t="s">
        <v>507</v>
      </c>
      <c r="J31" s="67">
        <v>15</v>
      </c>
      <c r="K31" s="67">
        <v>43.9</v>
      </c>
      <c r="L31" s="67">
        <v>17.45</v>
      </c>
      <c r="M31" s="67"/>
      <c r="N31" s="67">
        <v>7</v>
      </c>
      <c r="O31" s="67">
        <v>35.9</v>
      </c>
      <c r="P31" s="67">
        <v>53</v>
      </c>
      <c r="Q31" s="67">
        <v>62.5</v>
      </c>
      <c r="R31" s="67">
        <v>234.75</v>
      </c>
    </row>
    <row r="32" spans="1:18">
      <c r="A32" s="67" t="s">
        <v>508</v>
      </c>
      <c r="B32" s="67" t="s">
        <v>155</v>
      </c>
      <c r="C32">
        <v>1</v>
      </c>
      <c r="D32">
        <v>97</v>
      </c>
      <c r="E32">
        <v>97</v>
      </c>
      <c r="F32">
        <v>97</v>
      </c>
      <c r="I32" s="14" t="s">
        <v>40</v>
      </c>
      <c r="J32" s="67">
        <v>4.5</v>
      </c>
      <c r="K32" s="67"/>
      <c r="L32" s="67"/>
      <c r="M32" s="67"/>
      <c r="N32" s="67"/>
      <c r="O32" s="67"/>
      <c r="P32" s="67"/>
      <c r="Q32" s="67"/>
      <c r="R32" s="67">
        <v>4.5</v>
      </c>
    </row>
    <row r="33" spans="1:18">
      <c r="A33" s="67" t="s">
        <v>507</v>
      </c>
      <c r="B33" s="67" t="s">
        <v>157</v>
      </c>
      <c r="C33">
        <v>1</v>
      </c>
      <c r="D33">
        <v>62.5</v>
      </c>
      <c r="E33">
        <v>62.5</v>
      </c>
      <c r="F33">
        <v>62.5</v>
      </c>
      <c r="I33" s="14" t="s">
        <v>70</v>
      </c>
      <c r="J33" s="67"/>
      <c r="K33" s="67">
        <v>28.5</v>
      </c>
      <c r="L33" s="67">
        <v>49.3</v>
      </c>
      <c r="M33" s="67"/>
      <c r="N33" s="67"/>
      <c r="O33" s="67">
        <v>15.73</v>
      </c>
      <c r="P33" s="67"/>
      <c r="Q33" s="67"/>
      <c r="R33" s="67">
        <v>93.53</v>
      </c>
    </row>
    <row r="34" spans="1:18">
      <c r="A34" s="67" t="s">
        <v>507</v>
      </c>
      <c r="B34" s="67" t="s">
        <v>198</v>
      </c>
      <c r="C34">
        <v>1</v>
      </c>
      <c r="D34">
        <v>53</v>
      </c>
      <c r="E34">
        <v>53</v>
      </c>
      <c r="F34">
        <v>53</v>
      </c>
      <c r="I34" s="14" t="s">
        <v>77</v>
      </c>
      <c r="J34" s="67"/>
      <c r="K34" s="67"/>
      <c r="L34" s="67"/>
      <c r="M34" s="67"/>
      <c r="N34" s="67"/>
      <c r="O34" s="67"/>
      <c r="P34" s="67"/>
      <c r="Q34" s="67">
        <v>10.75</v>
      </c>
      <c r="R34" s="67">
        <v>10.75</v>
      </c>
    </row>
    <row r="35" spans="1:18">
      <c r="A35" s="67" t="s">
        <v>70</v>
      </c>
      <c r="B35" s="67" t="s">
        <v>178</v>
      </c>
      <c r="C35">
        <v>1</v>
      </c>
      <c r="D35">
        <v>49.3</v>
      </c>
      <c r="E35">
        <v>49.3</v>
      </c>
      <c r="F35">
        <v>49.3</v>
      </c>
      <c r="I35" s="14" t="s">
        <v>65</v>
      </c>
      <c r="J35" s="67">
        <v>18</v>
      </c>
      <c r="K35" s="67"/>
      <c r="L35" s="67">
        <v>18.13</v>
      </c>
      <c r="M35" s="67"/>
      <c r="N35" s="67"/>
      <c r="O35" s="67"/>
      <c r="P35" s="67"/>
      <c r="Q35" s="67"/>
      <c r="R35" s="67">
        <v>36.129999999999995</v>
      </c>
    </row>
    <row r="36" spans="1:18">
      <c r="A36" s="67" t="s">
        <v>509</v>
      </c>
      <c r="B36" s="67" t="s">
        <v>152</v>
      </c>
      <c r="C36">
        <v>1</v>
      </c>
      <c r="D36">
        <v>46</v>
      </c>
      <c r="E36">
        <v>46</v>
      </c>
      <c r="F36">
        <v>46</v>
      </c>
      <c r="I36" s="14" t="s">
        <v>59</v>
      </c>
      <c r="J36" s="67">
        <v>140.75</v>
      </c>
      <c r="K36" s="67"/>
      <c r="L36" s="67"/>
      <c r="M36" s="67">
        <v>44.5</v>
      </c>
      <c r="N36" s="67"/>
      <c r="O36" s="67"/>
      <c r="P36" s="67"/>
      <c r="Q36" s="67">
        <v>13.25</v>
      </c>
      <c r="R36" s="67">
        <v>198.5</v>
      </c>
    </row>
    <row r="37" spans="1:18">
      <c r="A37" s="67" t="s">
        <v>47</v>
      </c>
      <c r="B37" s="67" t="s">
        <v>198</v>
      </c>
      <c r="C37">
        <v>1</v>
      </c>
      <c r="D37">
        <v>45.6</v>
      </c>
      <c r="E37">
        <v>45.6</v>
      </c>
      <c r="F37">
        <v>45.6</v>
      </c>
      <c r="I37" s="14" t="s">
        <v>47</v>
      </c>
      <c r="J37" s="67">
        <v>7.75</v>
      </c>
      <c r="K37" s="67">
        <v>13</v>
      </c>
      <c r="L37" s="67">
        <v>29.71</v>
      </c>
      <c r="M37" s="67"/>
      <c r="N37" s="67">
        <v>33.25</v>
      </c>
      <c r="O37" s="67">
        <v>123.79</v>
      </c>
      <c r="P37" s="67">
        <v>45.6</v>
      </c>
      <c r="Q37" s="67">
        <v>25.89</v>
      </c>
      <c r="R37" s="67">
        <v>278.99</v>
      </c>
    </row>
    <row r="38" spans="1:18">
      <c r="A38" s="67" t="s">
        <v>59</v>
      </c>
      <c r="B38" s="67" t="s">
        <v>149</v>
      </c>
      <c r="C38">
        <v>2</v>
      </c>
      <c r="D38">
        <v>44.5</v>
      </c>
      <c r="E38">
        <v>55</v>
      </c>
      <c r="F38">
        <v>34</v>
      </c>
      <c r="I38" s="14" t="s">
        <v>83</v>
      </c>
      <c r="J38" s="67"/>
      <c r="K38" s="67"/>
      <c r="L38" s="67"/>
      <c r="M38" s="67">
        <v>26.43</v>
      </c>
      <c r="N38" s="67">
        <v>28.75</v>
      </c>
      <c r="O38" s="67"/>
      <c r="P38" s="67"/>
      <c r="Q38" s="67"/>
      <c r="R38" s="67">
        <v>55.18</v>
      </c>
    </row>
    <row r="39" spans="1:18">
      <c r="A39" s="67" t="s">
        <v>507</v>
      </c>
      <c r="B39" s="67" t="s">
        <v>160</v>
      </c>
      <c r="C39">
        <v>1</v>
      </c>
      <c r="D39">
        <v>43.9</v>
      </c>
      <c r="E39">
        <v>43.9</v>
      </c>
      <c r="F39">
        <v>43.9</v>
      </c>
      <c r="I39" s="14" t="s">
        <v>508</v>
      </c>
      <c r="J39" s="67"/>
      <c r="K39" s="67">
        <v>15.5</v>
      </c>
      <c r="L39" s="67"/>
      <c r="M39" s="67"/>
      <c r="N39" s="67"/>
      <c r="O39" s="67">
        <v>97</v>
      </c>
      <c r="P39" s="67">
        <v>16.63</v>
      </c>
      <c r="Q39" s="67">
        <v>18.5</v>
      </c>
      <c r="R39" s="67">
        <v>147.63</v>
      </c>
    </row>
    <row r="40" spans="1:18">
      <c r="A40" s="67" t="s">
        <v>507</v>
      </c>
      <c r="B40" s="67" t="s">
        <v>155</v>
      </c>
      <c r="C40">
        <v>2</v>
      </c>
      <c r="D40">
        <v>35.9</v>
      </c>
      <c r="E40">
        <v>39</v>
      </c>
      <c r="F40">
        <v>32.799999999999997</v>
      </c>
      <c r="I40" s="14" t="s">
        <v>511</v>
      </c>
      <c r="J40" s="67"/>
      <c r="K40" s="67"/>
      <c r="L40" s="67">
        <v>11.13</v>
      </c>
      <c r="M40" s="67"/>
      <c r="N40" s="67"/>
      <c r="O40" s="67"/>
      <c r="P40" s="67"/>
      <c r="Q40" s="67"/>
      <c r="R40" s="67">
        <v>11.13</v>
      </c>
    </row>
    <row r="41" spans="1:18">
      <c r="A41" s="67" t="s">
        <v>47</v>
      </c>
      <c r="B41" s="67" t="s">
        <v>203</v>
      </c>
      <c r="C41">
        <v>1</v>
      </c>
      <c r="D41">
        <v>33.25</v>
      </c>
      <c r="E41">
        <v>33.25</v>
      </c>
      <c r="F41">
        <v>33.25</v>
      </c>
      <c r="I41" s="14" t="s">
        <v>114</v>
      </c>
      <c r="J41" s="67"/>
      <c r="K41" s="67"/>
      <c r="L41" s="67"/>
      <c r="M41" s="67">
        <v>20</v>
      </c>
      <c r="N41" s="67"/>
      <c r="O41" s="67"/>
      <c r="P41" s="67"/>
      <c r="Q41" s="67"/>
      <c r="R41" s="67">
        <v>20</v>
      </c>
    </row>
    <row r="42" spans="1:18">
      <c r="A42" s="67" t="s">
        <v>43</v>
      </c>
      <c r="B42" s="67" t="s">
        <v>198</v>
      </c>
      <c r="C42">
        <v>1</v>
      </c>
      <c r="D42">
        <v>30</v>
      </c>
      <c r="E42">
        <v>30</v>
      </c>
      <c r="F42">
        <v>30</v>
      </c>
      <c r="I42" s="14" t="s">
        <v>509</v>
      </c>
      <c r="J42" s="67">
        <v>46</v>
      </c>
      <c r="K42" s="67">
        <v>19.45</v>
      </c>
      <c r="L42" s="67"/>
      <c r="M42" s="67"/>
      <c r="N42" s="67">
        <v>14</v>
      </c>
      <c r="O42" s="67"/>
      <c r="P42" s="67"/>
      <c r="Q42" s="67"/>
      <c r="R42" s="67">
        <v>79.45</v>
      </c>
    </row>
    <row r="43" spans="1:18">
      <c r="A43" s="67" t="s">
        <v>47</v>
      </c>
      <c r="B43" s="67" t="s">
        <v>178</v>
      </c>
      <c r="C43">
        <v>3</v>
      </c>
      <c r="D43">
        <v>29.71</v>
      </c>
      <c r="E43">
        <v>43.9</v>
      </c>
      <c r="F43">
        <v>14</v>
      </c>
      <c r="I43" s="14" t="s">
        <v>98</v>
      </c>
      <c r="J43" s="67"/>
      <c r="K43" s="67"/>
      <c r="L43" s="67"/>
      <c r="M43" s="67">
        <v>29.5</v>
      </c>
      <c r="N43" s="67"/>
      <c r="O43" s="67"/>
      <c r="P43" s="67"/>
      <c r="Q43" s="67"/>
      <c r="R43" s="67">
        <v>29.5</v>
      </c>
    </row>
    <row r="44" spans="1:18">
      <c r="A44" s="67" t="s">
        <v>98</v>
      </c>
      <c r="B44" s="67" t="s">
        <v>149</v>
      </c>
      <c r="C44">
        <v>2</v>
      </c>
      <c r="D44">
        <v>29.5</v>
      </c>
      <c r="E44">
        <v>38</v>
      </c>
      <c r="F44">
        <v>21</v>
      </c>
      <c r="I44" s="14" t="s">
        <v>51</v>
      </c>
      <c r="J44" s="67"/>
      <c r="K44" s="67"/>
      <c r="L44" s="67"/>
      <c r="M44" s="67"/>
      <c r="N44" s="67"/>
      <c r="O44" s="67"/>
      <c r="P44" s="67"/>
      <c r="Q44" s="67">
        <v>20</v>
      </c>
      <c r="R44" s="67">
        <v>20</v>
      </c>
    </row>
    <row r="45" spans="1:18">
      <c r="A45" s="67" t="s">
        <v>83</v>
      </c>
      <c r="B45" s="67" t="s">
        <v>203</v>
      </c>
      <c r="C45">
        <v>2</v>
      </c>
      <c r="D45">
        <v>28.75</v>
      </c>
      <c r="E45">
        <v>38</v>
      </c>
      <c r="F45">
        <v>19.5</v>
      </c>
      <c r="I45" s="14" t="s">
        <v>510</v>
      </c>
      <c r="J45" s="67"/>
      <c r="K45" s="67"/>
      <c r="L45" s="67"/>
      <c r="M45" s="67"/>
      <c r="N45" s="67">
        <v>15</v>
      </c>
      <c r="O45" s="67"/>
      <c r="P45" s="67"/>
      <c r="Q45" s="67"/>
      <c r="R45" s="67">
        <v>15</v>
      </c>
    </row>
    <row r="46" spans="1:18">
      <c r="A46" s="67" t="s">
        <v>70</v>
      </c>
      <c r="B46" s="67" t="s">
        <v>160</v>
      </c>
      <c r="C46">
        <v>1</v>
      </c>
      <c r="D46">
        <v>28.5</v>
      </c>
      <c r="E46">
        <v>28.5</v>
      </c>
      <c r="F46">
        <v>28.5</v>
      </c>
      <c r="I46" s="14" t="s">
        <v>38</v>
      </c>
      <c r="J46" s="67">
        <v>18.5</v>
      </c>
      <c r="K46" s="67">
        <v>10</v>
      </c>
      <c r="L46" s="67">
        <v>28.18</v>
      </c>
      <c r="M46" s="67"/>
      <c r="N46" s="67"/>
      <c r="O46" s="67"/>
      <c r="P46" s="67"/>
      <c r="Q46" s="67"/>
      <c r="R46" s="67">
        <v>56.68</v>
      </c>
    </row>
    <row r="47" spans="1:18">
      <c r="A47" s="67" t="s">
        <v>38</v>
      </c>
      <c r="B47" s="67" t="s">
        <v>178</v>
      </c>
      <c r="C47">
        <v>4</v>
      </c>
      <c r="D47">
        <v>28.18</v>
      </c>
      <c r="E47">
        <v>81</v>
      </c>
      <c r="F47">
        <v>9.1999999999999993</v>
      </c>
      <c r="I47" s="14" t="s">
        <v>43</v>
      </c>
      <c r="J47" s="67">
        <v>15.33</v>
      </c>
      <c r="K47" s="67">
        <v>24.4</v>
      </c>
      <c r="L47" s="67"/>
      <c r="M47" s="67"/>
      <c r="N47" s="67"/>
      <c r="O47" s="67"/>
      <c r="P47" s="67">
        <v>30</v>
      </c>
      <c r="Q47" s="67">
        <v>14.03</v>
      </c>
      <c r="R47" s="67">
        <v>83.759999999999991</v>
      </c>
    </row>
    <row r="48" spans="1:18">
      <c r="A48" s="67" t="s">
        <v>83</v>
      </c>
      <c r="B48" s="67" t="s">
        <v>149</v>
      </c>
      <c r="C48">
        <v>3</v>
      </c>
      <c r="D48">
        <v>26.43</v>
      </c>
      <c r="E48">
        <v>34.799999999999997</v>
      </c>
      <c r="F48">
        <v>12.5</v>
      </c>
      <c r="I48" s="14" t="s">
        <v>130</v>
      </c>
      <c r="J48" s="67">
        <v>265.83</v>
      </c>
      <c r="K48" s="67">
        <v>154.75000000000003</v>
      </c>
      <c r="L48" s="67">
        <v>153.9</v>
      </c>
      <c r="M48" s="67">
        <v>120.43</v>
      </c>
      <c r="N48" s="67">
        <v>98</v>
      </c>
      <c r="O48" s="67">
        <v>272.42</v>
      </c>
      <c r="P48" s="67">
        <v>145.22999999999999</v>
      </c>
      <c r="Q48" s="67">
        <v>164.92</v>
      </c>
      <c r="R48" s="67">
        <v>1375.4800000000002</v>
      </c>
    </row>
    <row r="49" spans="1:6">
      <c r="A49" s="67" t="s">
        <v>47</v>
      </c>
      <c r="B49" s="67" t="s">
        <v>157</v>
      </c>
      <c r="C49">
        <v>1</v>
      </c>
      <c r="D49">
        <v>25.89</v>
      </c>
      <c r="E49">
        <v>25.89</v>
      </c>
      <c r="F49">
        <v>25.89</v>
      </c>
    </row>
    <row r="50" spans="1:6">
      <c r="A50" s="67" t="s">
        <v>43</v>
      </c>
      <c r="B50" s="67" t="s">
        <v>160</v>
      </c>
      <c r="C50">
        <v>6</v>
      </c>
      <c r="D50">
        <v>24.4</v>
      </c>
      <c r="E50">
        <v>40</v>
      </c>
      <c r="F50">
        <v>17</v>
      </c>
    </row>
    <row r="51" spans="1:6">
      <c r="A51" s="67" t="s">
        <v>114</v>
      </c>
      <c r="B51" s="67" t="s">
        <v>149</v>
      </c>
      <c r="C51">
        <v>3</v>
      </c>
      <c r="D51">
        <v>20</v>
      </c>
      <c r="E51">
        <v>36</v>
      </c>
      <c r="F51">
        <v>2.5</v>
      </c>
    </row>
    <row r="52" spans="1:6">
      <c r="A52" s="67" t="s">
        <v>51</v>
      </c>
      <c r="B52" s="67" t="s">
        <v>157</v>
      </c>
      <c r="C52">
        <v>3</v>
      </c>
      <c r="D52">
        <v>20</v>
      </c>
      <c r="E52">
        <v>26</v>
      </c>
      <c r="F52">
        <v>15</v>
      </c>
    </row>
    <row r="53" spans="1:6">
      <c r="A53" s="67" t="s">
        <v>509</v>
      </c>
      <c r="B53" s="67" t="s">
        <v>160</v>
      </c>
      <c r="C53">
        <v>1</v>
      </c>
      <c r="D53">
        <v>19.45</v>
      </c>
      <c r="E53">
        <v>19.45</v>
      </c>
      <c r="F53">
        <v>19.45</v>
      </c>
    </row>
    <row r="54" spans="1:6">
      <c r="A54" s="67" t="s">
        <v>38</v>
      </c>
      <c r="B54" s="67" t="s">
        <v>152</v>
      </c>
      <c r="C54">
        <v>2</v>
      </c>
      <c r="D54">
        <v>18.5</v>
      </c>
      <c r="E54">
        <v>19</v>
      </c>
      <c r="F54">
        <v>18</v>
      </c>
    </row>
    <row r="55" spans="1:6">
      <c r="A55" s="67" t="s">
        <v>508</v>
      </c>
      <c r="B55" s="67" t="s">
        <v>157</v>
      </c>
      <c r="C55">
        <v>2</v>
      </c>
      <c r="D55">
        <v>18.5</v>
      </c>
      <c r="E55">
        <v>31</v>
      </c>
      <c r="F55">
        <v>6</v>
      </c>
    </row>
    <row r="56" spans="1:6">
      <c r="A56" s="67" t="s">
        <v>65</v>
      </c>
      <c r="B56" s="67" t="s">
        <v>178</v>
      </c>
      <c r="C56">
        <v>2</v>
      </c>
      <c r="D56">
        <v>18.13</v>
      </c>
      <c r="E56">
        <v>20</v>
      </c>
      <c r="F56">
        <v>16.25</v>
      </c>
    </row>
    <row r="57" spans="1:6">
      <c r="A57" s="67" t="s">
        <v>65</v>
      </c>
      <c r="B57" s="67" t="s">
        <v>152</v>
      </c>
      <c r="C57">
        <v>1</v>
      </c>
      <c r="D57">
        <v>18</v>
      </c>
      <c r="E57">
        <v>18</v>
      </c>
      <c r="F57">
        <v>18</v>
      </c>
    </row>
    <row r="58" spans="1:6">
      <c r="A58" s="67" t="s">
        <v>507</v>
      </c>
      <c r="B58" s="67" t="s">
        <v>178</v>
      </c>
      <c r="C58">
        <v>1</v>
      </c>
      <c r="D58">
        <v>17.45</v>
      </c>
      <c r="E58">
        <v>17.45</v>
      </c>
      <c r="F58">
        <v>17.45</v>
      </c>
    </row>
    <row r="59" spans="1:6">
      <c r="A59" s="67" t="s">
        <v>508</v>
      </c>
      <c r="B59" s="67" t="s">
        <v>198</v>
      </c>
      <c r="C59">
        <v>2</v>
      </c>
      <c r="D59">
        <v>16.63</v>
      </c>
      <c r="E59">
        <v>23.25</v>
      </c>
      <c r="F59">
        <v>10</v>
      </c>
    </row>
    <row r="60" spans="1:6">
      <c r="A60" s="67" t="s">
        <v>70</v>
      </c>
      <c r="B60" s="67" t="s">
        <v>155</v>
      </c>
      <c r="C60">
        <v>2</v>
      </c>
      <c r="D60">
        <v>15.73</v>
      </c>
      <c r="E60">
        <v>24</v>
      </c>
      <c r="F60">
        <v>7.45</v>
      </c>
    </row>
    <row r="61" spans="1:6">
      <c r="A61" s="67" t="s">
        <v>508</v>
      </c>
      <c r="B61" s="67" t="s">
        <v>160</v>
      </c>
      <c r="C61">
        <v>1</v>
      </c>
      <c r="D61">
        <v>15.5</v>
      </c>
      <c r="E61">
        <v>15.5</v>
      </c>
      <c r="F61">
        <v>15.5</v>
      </c>
    </row>
    <row r="62" spans="1:6">
      <c r="A62" s="67" t="s">
        <v>43</v>
      </c>
      <c r="B62" s="67" t="s">
        <v>152</v>
      </c>
      <c r="C62">
        <v>3</v>
      </c>
      <c r="D62">
        <v>15.33</v>
      </c>
      <c r="E62">
        <v>18</v>
      </c>
      <c r="F62">
        <v>14</v>
      </c>
    </row>
    <row r="63" spans="1:6">
      <c r="A63" s="67" t="s">
        <v>507</v>
      </c>
      <c r="B63" s="67" t="s">
        <v>152</v>
      </c>
      <c r="C63">
        <v>1</v>
      </c>
      <c r="D63">
        <v>15</v>
      </c>
      <c r="E63">
        <v>15</v>
      </c>
      <c r="F63">
        <v>15</v>
      </c>
    </row>
    <row r="64" spans="1:6">
      <c r="A64" s="67" t="s">
        <v>510</v>
      </c>
      <c r="B64" s="67" t="s">
        <v>203</v>
      </c>
      <c r="C64">
        <v>2</v>
      </c>
      <c r="D64">
        <v>15</v>
      </c>
      <c r="E64">
        <v>21</v>
      </c>
      <c r="F64">
        <v>9</v>
      </c>
    </row>
    <row r="65" spans="1:6">
      <c r="A65" s="67" t="s">
        <v>43</v>
      </c>
      <c r="B65" s="67" t="s">
        <v>157</v>
      </c>
      <c r="C65">
        <v>2</v>
      </c>
      <c r="D65">
        <v>14.03</v>
      </c>
      <c r="E65">
        <v>18.399999999999999</v>
      </c>
      <c r="F65">
        <v>9.65</v>
      </c>
    </row>
    <row r="66" spans="1:6">
      <c r="A66" s="67" t="s">
        <v>509</v>
      </c>
      <c r="B66" s="67" t="s">
        <v>203</v>
      </c>
      <c r="C66">
        <v>1</v>
      </c>
      <c r="D66">
        <v>14</v>
      </c>
      <c r="E66">
        <v>14</v>
      </c>
      <c r="F66">
        <v>14</v>
      </c>
    </row>
    <row r="67" spans="1:6">
      <c r="A67" s="67" t="s">
        <v>59</v>
      </c>
      <c r="B67" s="67" t="s">
        <v>157</v>
      </c>
      <c r="C67">
        <v>1</v>
      </c>
      <c r="D67">
        <v>13.25</v>
      </c>
      <c r="E67">
        <v>13.25</v>
      </c>
      <c r="F67">
        <v>13.25</v>
      </c>
    </row>
    <row r="68" spans="1:6">
      <c r="A68" s="67" t="s">
        <v>47</v>
      </c>
      <c r="B68" s="67" t="s">
        <v>160</v>
      </c>
      <c r="C68">
        <v>1</v>
      </c>
      <c r="D68">
        <v>13</v>
      </c>
      <c r="E68">
        <v>13</v>
      </c>
      <c r="F68">
        <v>13</v>
      </c>
    </row>
    <row r="69" spans="1:6">
      <c r="A69" s="67" t="s">
        <v>511</v>
      </c>
      <c r="B69" s="67" t="s">
        <v>178</v>
      </c>
      <c r="C69">
        <v>2</v>
      </c>
      <c r="D69">
        <v>11.13</v>
      </c>
      <c r="E69">
        <v>12.75</v>
      </c>
      <c r="F69">
        <v>9.5</v>
      </c>
    </row>
    <row r="70" spans="1:6">
      <c r="A70" s="67" t="s">
        <v>77</v>
      </c>
      <c r="B70" s="67" t="s">
        <v>157</v>
      </c>
      <c r="C70">
        <v>2</v>
      </c>
      <c r="D70">
        <v>10.75</v>
      </c>
      <c r="E70">
        <v>12</v>
      </c>
      <c r="F70">
        <v>9.5</v>
      </c>
    </row>
    <row r="71" spans="1:6">
      <c r="A71" s="67" t="s">
        <v>38</v>
      </c>
      <c r="B71" s="67" t="s">
        <v>160</v>
      </c>
      <c r="C71">
        <v>1</v>
      </c>
      <c r="D71">
        <v>10</v>
      </c>
      <c r="E71">
        <v>10</v>
      </c>
      <c r="F71">
        <v>10</v>
      </c>
    </row>
    <row r="72" spans="1:6">
      <c r="A72" s="67" t="s">
        <v>47</v>
      </c>
      <c r="B72" s="67" t="s">
        <v>152</v>
      </c>
      <c r="C72">
        <v>1</v>
      </c>
      <c r="D72">
        <v>7.75</v>
      </c>
      <c r="E72">
        <v>7.75</v>
      </c>
      <c r="F72">
        <v>7.75</v>
      </c>
    </row>
    <row r="73" spans="1:6">
      <c r="A73" s="67" t="s">
        <v>507</v>
      </c>
      <c r="B73" s="67" t="s">
        <v>203</v>
      </c>
      <c r="C73">
        <v>1</v>
      </c>
      <c r="D73">
        <v>7</v>
      </c>
      <c r="E73">
        <v>7</v>
      </c>
      <c r="F73">
        <v>7</v>
      </c>
    </row>
    <row r="74" spans="1:6">
      <c r="A74" s="67" t="s">
        <v>40</v>
      </c>
      <c r="B74" s="67" t="s">
        <v>152</v>
      </c>
      <c r="C74">
        <v>1</v>
      </c>
      <c r="D74">
        <v>4.5</v>
      </c>
      <c r="E74">
        <v>4.5</v>
      </c>
      <c r="F74">
        <v>4.5</v>
      </c>
    </row>
    <row r="114" spans="1:11" ht="15.75" thickBot="1"/>
    <row r="115" spans="1:11" ht="19.5" thickBot="1">
      <c r="E115" s="68" t="s">
        <v>29</v>
      </c>
    </row>
    <row r="116" spans="1:11">
      <c r="A116" s="20">
        <v>1</v>
      </c>
      <c r="B116" s="21" t="s">
        <v>555</v>
      </c>
      <c r="C116" s="21"/>
      <c r="D116" s="21"/>
      <c r="E116" s="21"/>
      <c r="F116" s="21"/>
      <c r="G116" s="21"/>
      <c r="H116" s="21"/>
      <c r="I116" s="21"/>
      <c r="J116" s="21"/>
      <c r="K116" s="22"/>
    </row>
    <row r="117" spans="1:11">
      <c r="A117" s="23">
        <v>2</v>
      </c>
      <c r="B117" s="69" t="s">
        <v>556</v>
      </c>
      <c r="C117" s="69"/>
      <c r="D117" s="69"/>
      <c r="E117" s="69"/>
      <c r="F117" s="69"/>
      <c r="G117" s="69"/>
      <c r="H117" s="69"/>
      <c r="I117" s="69"/>
      <c r="J117" s="69"/>
      <c r="K117" s="24"/>
    </row>
    <row r="118" spans="1:11">
      <c r="A118" s="23">
        <v>3</v>
      </c>
      <c r="B118" s="69" t="s">
        <v>557</v>
      </c>
      <c r="C118" s="69"/>
      <c r="D118" s="69"/>
      <c r="E118" s="69"/>
      <c r="F118" s="69"/>
      <c r="G118" s="69"/>
      <c r="H118" s="69"/>
      <c r="I118" s="69"/>
      <c r="J118" s="69"/>
      <c r="K118" s="24"/>
    </row>
    <row r="119" spans="1:11" ht="15.75" thickBot="1">
      <c r="A119" s="25">
        <v>4</v>
      </c>
      <c r="B119" s="27" t="s">
        <v>558</v>
      </c>
      <c r="C119" s="27"/>
      <c r="D119" s="27"/>
      <c r="E119" s="27"/>
      <c r="F119" s="27"/>
      <c r="G119" s="27"/>
      <c r="H119" s="27"/>
      <c r="I119" s="27"/>
      <c r="J119" s="27"/>
      <c r="K119" s="28"/>
    </row>
  </sheetData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05BF30-DA2A-4A86-B523-9524E359A7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rai</dc:creator>
  <cp:lastModifiedBy>piyush rai</cp:lastModifiedBy>
  <dcterms:created xsi:type="dcterms:W3CDTF">2026-06-08T17:37:33Z</dcterms:created>
  <dcterms:modified xsi:type="dcterms:W3CDTF">2026-06-15T19:10:35Z</dcterms:modified>
</cp:coreProperties>
</file>